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01" codeName="{0111311B-0956-48F4-D2DB-CD56BCBECE7C}"/>
  <workbookPr filterPrivacy="1" codeName="현재_통합_문서" defaultThemeVersion="124226"/>
  <xr:revisionPtr revIDLastSave="0" documentId="13_ncr:1_{53064E4D-C723-4369-AE44-46290FF13086}" xr6:coauthVersionLast="43" xr6:coauthVersionMax="43" xr10:uidLastSave="{00000000-0000-0000-0000-000000000000}"/>
  <bookViews>
    <workbookView xWindow="-108" yWindow="-108" windowWidth="23256" windowHeight="12576" activeTab="3" xr2:uid="{00000000-000D-0000-FFFF-FFFF00000000}"/>
  </bookViews>
  <sheets>
    <sheet name="Total-T7.2019" sheetId="1" r:id="rId1"/>
    <sheet name="Sheet1" sheetId="7" r:id="rId2"/>
    <sheet name="Sheet2" sheetId="8" r:id="rId3"/>
    <sheet name="Sheet3" sheetId="9" r:id="rId4"/>
    <sheet name="Import-T7.2019" sheetId="2" r:id="rId5"/>
    <sheet name="Export T7.2019" sheetId="3" r:id="rId6"/>
    <sheet name="NG T7.2019" sheetId="6" r:id="rId7"/>
    <sheet name="Images" sheetId="5" r:id="rId8"/>
  </sheets>
  <definedNames>
    <definedName name="_xlnm._FilterDatabase" localSheetId="0" hidden="1">'Total-T7.2019'!$A$6:$AQ$274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240" i="9"/>
  <c r="D241" i="9"/>
  <c r="D242" i="9"/>
  <c r="D243" i="9"/>
  <c r="D244" i="9"/>
  <c r="D245" i="9"/>
  <c r="D246" i="9"/>
  <c r="D247" i="9"/>
  <c r="D248" i="9"/>
  <c r="D249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161" i="9"/>
  <c r="H14" i="9"/>
  <c r="E42" i="9" l="1"/>
  <c r="E43" i="9"/>
  <c r="E11" i="9"/>
  <c r="H12" i="9" l="1"/>
  <c r="H13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G12" i="9"/>
  <c r="J12" i="9" s="1"/>
  <c r="G13" i="9"/>
  <c r="J13" i="9" s="1"/>
  <c r="G14" i="9"/>
  <c r="J14" i="9" s="1"/>
  <c r="G15" i="9"/>
  <c r="J15" i="9" s="1"/>
  <c r="G16" i="9"/>
  <c r="J16" i="9" s="1"/>
  <c r="G17" i="9"/>
  <c r="J17" i="9" s="1"/>
  <c r="G18" i="9"/>
  <c r="J18" i="9" s="1"/>
  <c r="G19" i="9"/>
  <c r="J19" i="9" s="1"/>
  <c r="G20" i="9"/>
  <c r="J20" i="9" s="1"/>
  <c r="G21" i="9"/>
  <c r="J21" i="9" s="1"/>
  <c r="G22" i="9"/>
  <c r="J22" i="9" s="1"/>
  <c r="G23" i="9"/>
  <c r="J23" i="9" s="1"/>
  <c r="G24" i="9"/>
  <c r="J24" i="9" s="1"/>
  <c r="G25" i="9"/>
  <c r="J25" i="9" s="1"/>
  <c r="G26" i="9"/>
  <c r="J26" i="9" s="1"/>
  <c r="G27" i="9"/>
  <c r="J27" i="9" s="1"/>
  <c r="G28" i="9"/>
  <c r="J28" i="9" s="1"/>
  <c r="G29" i="9"/>
  <c r="J29" i="9" s="1"/>
  <c r="G30" i="9"/>
  <c r="J30" i="9" s="1"/>
  <c r="G31" i="9"/>
  <c r="J31" i="9" s="1"/>
  <c r="G32" i="9"/>
  <c r="J32" i="9" s="1"/>
  <c r="G33" i="9"/>
  <c r="J33" i="9" s="1"/>
  <c r="G34" i="9"/>
  <c r="J34" i="9" s="1"/>
  <c r="G35" i="9"/>
  <c r="J35" i="9" s="1"/>
  <c r="G36" i="9"/>
  <c r="J36" i="9" s="1"/>
  <c r="G37" i="9"/>
  <c r="J37" i="9" s="1"/>
  <c r="G38" i="9"/>
  <c r="J38" i="9" s="1"/>
  <c r="G39" i="9"/>
  <c r="J39" i="9" s="1"/>
  <c r="G40" i="9"/>
  <c r="J40" i="9" s="1"/>
  <c r="G41" i="9"/>
  <c r="J41" i="9" s="1"/>
  <c r="G42" i="9"/>
  <c r="J42" i="9" s="1"/>
  <c r="G43" i="9"/>
  <c r="J43" i="9" s="1"/>
  <c r="G44" i="9"/>
  <c r="J44" i="9" s="1"/>
  <c r="G45" i="9"/>
  <c r="J45" i="9" s="1"/>
  <c r="G46" i="9"/>
  <c r="J46" i="9" s="1"/>
  <c r="G47" i="9"/>
  <c r="J47" i="9" s="1"/>
  <c r="G48" i="9"/>
  <c r="J48" i="9" s="1"/>
  <c r="G49" i="9"/>
  <c r="J49" i="9" s="1"/>
  <c r="G50" i="9"/>
  <c r="J50" i="9" s="1"/>
  <c r="G51" i="9"/>
  <c r="J51" i="9" s="1"/>
  <c r="G52" i="9"/>
  <c r="J52" i="9" s="1"/>
  <c r="G53" i="9"/>
  <c r="J53" i="9" s="1"/>
  <c r="G54" i="9"/>
  <c r="J54" i="9" s="1"/>
  <c r="G55" i="9"/>
  <c r="J55" i="9" s="1"/>
  <c r="G56" i="9"/>
  <c r="J56" i="9" s="1"/>
  <c r="G57" i="9"/>
  <c r="J57" i="9" s="1"/>
  <c r="G58" i="9"/>
  <c r="J58" i="9" s="1"/>
  <c r="G59" i="9"/>
  <c r="J59" i="9" s="1"/>
  <c r="G60" i="9"/>
  <c r="J60" i="9" s="1"/>
  <c r="G61" i="9"/>
  <c r="J61" i="9" s="1"/>
  <c r="G62" i="9"/>
  <c r="J62" i="9" s="1"/>
  <c r="G63" i="9"/>
  <c r="J63" i="9" s="1"/>
  <c r="G64" i="9"/>
  <c r="J64" i="9" s="1"/>
  <c r="G65" i="9"/>
  <c r="J65" i="9" s="1"/>
  <c r="G66" i="9"/>
  <c r="J66" i="9" s="1"/>
  <c r="G67" i="9"/>
  <c r="J67" i="9" s="1"/>
  <c r="G68" i="9"/>
  <c r="J68" i="9" s="1"/>
  <c r="G69" i="9"/>
  <c r="J69" i="9" s="1"/>
  <c r="G70" i="9"/>
  <c r="J70" i="9" s="1"/>
  <c r="G71" i="9"/>
  <c r="J71" i="9" s="1"/>
  <c r="G72" i="9"/>
  <c r="J72" i="9" s="1"/>
  <c r="G73" i="9"/>
  <c r="J73" i="9" s="1"/>
  <c r="G74" i="9"/>
  <c r="J74" i="9" s="1"/>
  <c r="G75" i="9"/>
  <c r="J75" i="9" s="1"/>
  <c r="G76" i="9"/>
  <c r="J76" i="9" s="1"/>
  <c r="G77" i="9"/>
  <c r="J77" i="9" s="1"/>
  <c r="G78" i="9"/>
  <c r="J78" i="9" s="1"/>
  <c r="G79" i="9"/>
  <c r="J79" i="9" s="1"/>
  <c r="G80" i="9"/>
  <c r="J80" i="9" s="1"/>
  <c r="G81" i="9"/>
  <c r="J81" i="9" s="1"/>
  <c r="G82" i="9"/>
  <c r="J82" i="9" s="1"/>
  <c r="G83" i="9"/>
  <c r="J83" i="9" s="1"/>
  <c r="G84" i="9"/>
  <c r="J84" i="9" s="1"/>
  <c r="G85" i="9"/>
  <c r="J85" i="9" s="1"/>
  <c r="G86" i="9"/>
  <c r="J86" i="9" s="1"/>
  <c r="G87" i="9"/>
  <c r="J87" i="9" s="1"/>
  <c r="G88" i="9"/>
  <c r="J88" i="9" s="1"/>
  <c r="G89" i="9"/>
  <c r="J89" i="9" s="1"/>
  <c r="G90" i="9"/>
  <c r="J90" i="9" s="1"/>
  <c r="G91" i="9"/>
  <c r="J91" i="9" s="1"/>
  <c r="G92" i="9"/>
  <c r="J92" i="9" s="1"/>
  <c r="G93" i="9"/>
  <c r="J93" i="9" s="1"/>
  <c r="G94" i="9"/>
  <c r="J94" i="9" s="1"/>
  <c r="G95" i="9"/>
  <c r="J95" i="9" s="1"/>
  <c r="G96" i="9"/>
  <c r="J96" i="9" s="1"/>
  <c r="G97" i="9"/>
  <c r="J97" i="9" s="1"/>
  <c r="G98" i="9"/>
  <c r="J98" i="9" s="1"/>
  <c r="G99" i="9"/>
  <c r="J99" i="9" s="1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H11" i="9"/>
  <c r="G11" i="9"/>
  <c r="C11" i="9"/>
  <c r="J7" i="9"/>
  <c r="G100" i="9" l="1"/>
  <c r="J11" i="9"/>
  <c r="J100" i="9" s="1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G12" i="8"/>
  <c r="G13" i="8"/>
  <c r="J13" i="8" s="1"/>
  <c r="G14" i="8"/>
  <c r="G15" i="8"/>
  <c r="G16" i="8"/>
  <c r="G17" i="8"/>
  <c r="J17" i="8" s="1"/>
  <c r="G18" i="8"/>
  <c r="G19" i="8"/>
  <c r="J19" i="8" s="1"/>
  <c r="G20" i="8"/>
  <c r="G21" i="8"/>
  <c r="G22" i="8"/>
  <c r="J22" i="8" s="1"/>
  <c r="G23" i="8"/>
  <c r="J23" i="8" s="1"/>
  <c r="G24" i="8"/>
  <c r="G25" i="8"/>
  <c r="J25" i="8" s="1"/>
  <c r="G26" i="8"/>
  <c r="J26" i="8" s="1"/>
  <c r="G27" i="8"/>
  <c r="J27" i="8" s="1"/>
  <c r="G28" i="8"/>
  <c r="G29" i="8"/>
  <c r="J29" i="8" s="1"/>
  <c r="G30" i="8"/>
  <c r="J30" i="8" s="1"/>
  <c r="G31" i="8"/>
  <c r="J31" i="8" s="1"/>
  <c r="G32" i="8"/>
  <c r="J32" i="8" s="1"/>
  <c r="G33" i="8"/>
  <c r="J33" i="8" s="1"/>
  <c r="J12" i="8"/>
  <c r="J15" i="8"/>
  <c r="J28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H11" i="8"/>
  <c r="G11" i="8"/>
  <c r="J11" i="8" s="1"/>
  <c r="E11" i="8"/>
  <c r="D11" i="8"/>
  <c r="C11" i="8"/>
  <c r="H11" i="7"/>
  <c r="G11" i="7"/>
  <c r="E11" i="7"/>
  <c r="D11" i="7"/>
  <c r="J24" i="8"/>
  <c r="J21" i="8"/>
  <c r="J20" i="8"/>
  <c r="J18" i="8"/>
  <c r="J16" i="8"/>
  <c r="J14" i="8"/>
  <c r="J7" i="8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G12" i="7"/>
  <c r="G13" i="7"/>
  <c r="G14" i="7"/>
  <c r="J14" i="7" s="1"/>
  <c r="G15" i="7"/>
  <c r="J15" i="7" s="1"/>
  <c r="G16" i="7"/>
  <c r="J16" i="7" s="1"/>
  <c r="G17" i="7"/>
  <c r="J17" i="7" s="1"/>
  <c r="G18" i="7"/>
  <c r="J18" i="7" s="1"/>
  <c r="G19" i="7"/>
  <c r="J19" i="7" s="1"/>
  <c r="G20" i="7"/>
  <c r="J20" i="7" s="1"/>
  <c r="G21" i="7"/>
  <c r="G22" i="7"/>
  <c r="J22" i="7" s="1"/>
  <c r="G23" i="7"/>
  <c r="J23" i="7" s="1"/>
  <c r="G24" i="7"/>
  <c r="J24" i="7" s="1"/>
  <c r="G25" i="7"/>
  <c r="J25" i="7" s="1"/>
  <c r="G26" i="7"/>
  <c r="J26" i="7" s="1"/>
  <c r="G27" i="7"/>
  <c r="J27" i="7" s="1"/>
  <c r="G28" i="7"/>
  <c r="J28" i="7" s="1"/>
  <c r="G29" i="7"/>
  <c r="J29" i="7" s="1"/>
  <c r="G30" i="7"/>
  <c r="J30" i="7" s="1"/>
  <c r="G31" i="7"/>
  <c r="J31" i="7" s="1"/>
  <c r="G32" i="7"/>
  <c r="J32" i="7" s="1"/>
  <c r="G33" i="7"/>
  <c r="J33" i="7" s="1"/>
  <c r="J12" i="7"/>
  <c r="J21" i="7"/>
  <c r="J13" i="7"/>
  <c r="B13" i="7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12" i="7"/>
  <c r="J7" i="7"/>
  <c r="J34" i="8" l="1"/>
  <c r="G34" i="8"/>
  <c r="J11" i="7"/>
  <c r="J34" i="7" s="1"/>
  <c r="G34" i="7"/>
  <c r="AO10" i="1"/>
  <c r="F5" i="6"/>
  <c r="AN168" i="1"/>
  <c r="AN172" i="1"/>
  <c r="AN265" i="1"/>
  <c r="AN272" i="1"/>
  <c r="AN78" i="1" l="1"/>
  <c r="AN81" i="1"/>
  <c r="AN82" i="1"/>
  <c r="AN83" i="1"/>
  <c r="AN84" i="1"/>
  <c r="AN85" i="1"/>
  <c r="AN86" i="1"/>
  <c r="AN87" i="1"/>
  <c r="AN88" i="1"/>
  <c r="AN89" i="1"/>
  <c r="AN93" i="1"/>
  <c r="F269" i="6"/>
  <c r="AO274" i="1" s="1"/>
  <c r="F268" i="6"/>
  <c r="AO273" i="1" s="1"/>
  <c r="F267" i="6"/>
  <c r="AO272" i="1" s="1"/>
  <c r="F266" i="6"/>
  <c r="AO271" i="1" s="1"/>
  <c r="F265" i="6"/>
  <c r="AO270" i="1" s="1"/>
  <c r="F264" i="6"/>
  <c r="AO269" i="1" s="1"/>
  <c r="F263" i="6"/>
  <c r="AO268" i="1" s="1"/>
  <c r="F262" i="6"/>
  <c r="AO267" i="1" s="1"/>
  <c r="F261" i="6"/>
  <c r="AO266" i="1" s="1"/>
  <c r="F260" i="6"/>
  <c r="AO265" i="1" s="1"/>
  <c r="F259" i="6"/>
  <c r="AO264" i="1" s="1"/>
  <c r="F258" i="6"/>
  <c r="AO263" i="1" s="1"/>
  <c r="F257" i="6"/>
  <c r="AO262" i="1" s="1"/>
  <c r="F256" i="6"/>
  <c r="AO261" i="1" s="1"/>
  <c r="F255" i="6"/>
  <c r="AO260" i="1" s="1"/>
  <c r="F254" i="6"/>
  <c r="AO259" i="1" s="1"/>
  <c r="F253" i="6"/>
  <c r="AO258" i="1" s="1"/>
  <c r="F252" i="6"/>
  <c r="AO257" i="1" s="1"/>
  <c r="F251" i="6"/>
  <c r="AO256" i="1" s="1"/>
  <c r="F250" i="6"/>
  <c r="AO255" i="1" s="1"/>
  <c r="F249" i="6"/>
  <c r="AO254" i="1" s="1"/>
  <c r="F248" i="6"/>
  <c r="AO253" i="1" s="1"/>
  <c r="F247" i="6"/>
  <c r="AO252" i="1" s="1"/>
  <c r="F246" i="6"/>
  <c r="AO251" i="1" s="1"/>
  <c r="F245" i="6"/>
  <c r="AO250" i="1" s="1"/>
  <c r="F244" i="6"/>
  <c r="AO249" i="1" s="1"/>
  <c r="F243" i="6"/>
  <c r="AO248" i="1" s="1"/>
  <c r="F242" i="6"/>
  <c r="AO247" i="1" s="1"/>
  <c r="F241" i="6"/>
  <c r="AO246" i="1" s="1"/>
  <c r="F240" i="6"/>
  <c r="AO245" i="1" s="1"/>
  <c r="F239" i="6"/>
  <c r="AO244" i="1" s="1"/>
  <c r="F238" i="6"/>
  <c r="AO243" i="1" s="1"/>
  <c r="F237" i="6"/>
  <c r="AO242" i="1" s="1"/>
  <c r="F236" i="6"/>
  <c r="AO241" i="1" s="1"/>
  <c r="F235" i="6"/>
  <c r="AO240" i="1" s="1"/>
  <c r="F234" i="6"/>
  <c r="AO239" i="1" s="1"/>
  <c r="F233" i="6"/>
  <c r="AO238" i="1" s="1"/>
  <c r="F232" i="6"/>
  <c r="AO237" i="1" s="1"/>
  <c r="F231" i="6"/>
  <c r="AO236" i="1" s="1"/>
  <c r="F230" i="6"/>
  <c r="AO235" i="1" s="1"/>
  <c r="F229" i="6"/>
  <c r="AO234" i="1" s="1"/>
  <c r="F228" i="6"/>
  <c r="AO233" i="1" s="1"/>
  <c r="F227" i="6"/>
  <c r="AO232" i="1" s="1"/>
  <c r="F226" i="6"/>
  <c r="AO231" i="1" s="1"/>
  <c r="F225" i="6"/>
  <c r="AO230" i="1" s="1"/>
  <c r="F224" i="6"/>
  <c r="AO229" i="1" s="1"/>
  <c r="F223" i="6"/>
  <c r="AO228" i="1" s="1"/>
  <c r="F222" i="6"/>
  <c r="AO227" i="1" s="1"/>
  <c r="F221" i="6"/>
  <c r="AO226" i="1" s="1"/>
  <c r="F220" i="6"/>
  <c r="AO225" i="1" s="1"/>
  <c r="F219" i="6"/>
  <c r="AO224" i="1" s="1"/>
  <c r="F218" i="6"/>
  <c r="AO223" i="1" s="1"/>
  <c r="F217" i="6"/>
  <c r="AO222" i="1" s="1"/>
  <c r="F216" i="6"/>
  <c r="AO221" i="1" s="1"/>
  <c r="F215" i="6"/>
  <c r="AO220" i="1" s="1"/>
  <c r="F214" i="6"/>
  <c r="AO219" i="1" s="1"/>
  <c r="F213" i="6"/>
  <c r="AO218" i="1" s="1"/>
  <c r="F212" i="6"/>
  <c r="AO217" i="1" s="1"/>
  <c r="F211" i="6"/>
  <c r="AO216" i="1" s="1"/>
  <c r="F210" i="6"/>
  <c r="AO215" i="1" s="1"/>
  <c r="F209" i="6"/>
  <c r="AO214" i="1" s="1"/>
  <c r="F208" i="6"/>
  <c r="AO213" i="1" s="1"/>
  <c r="F207" i="6"/>
  <c r="AO212" i="1" s="1"/>
  <c r="F206" i="6"/>
  <c r="AO211" i="1" s="1"/>
  <c r="F205" i="6"/>
  <c r="AO210" i="1" s="1"/>
  <c r="F204" i="6"/>
  <c r="AO209" i="1" s="1"/>
  <c r="F203" i="6"/>
  <c r="AO208" i="1" s="1"/>
  <c r="F202" i="6"/>
  <c r="AO207" i="1" s="1"/>
  <c r="F201" i="6"/>
  <c r="AO206" i="1" s="1"/>
  <c r="F200" i="6"/>
  <c r="AO205" i="1" s="1"/>
  <c r="F199" i="6"/>
  <c r="AO204" i="1" s="1"/>
  <c r="F198" i="6"/>
  <c r="AO203" i="1" s="1"/>
  <c r="F197" i="6"/>
  <c r="AO202" i="1" s="1"/>
  <c r="F196" i="6"/>
  <c r="AO201" i="1" s="1"/>
  <c r="F195" i="6"/>
  <c r="AO200" i="1" s="1"/>
  <c r="F194" i="6"/>
  <c r="AO199" i="1" s="1"/>
  <c r="F193" i="6"/>
  <c r="AO198" i="1" s="1"/>
  <c r="F192" i="6"/>
  <c r="AO197" i="1" s="1"/>
  <c r="F191" i="6"/>
  <c r="AO196" i="1" s="1"/>
  <c r="F190" i="6"/>
  <c r="AO195" i="1" s="1"/>
  <c r="F189" i="6"/>
  <c r="AO194" i="1" s="1"/>
  <c r="F188" i="6"/>
  <c r="AO193" i="1" s="1"/>
  <c r="F187" i="6"/>
  <c r="AO192" i="1" s="1"/>
  <c r="F186" i="6"/>
  <c r="AO191" i="1" s="1"/>
  <c r="F185" i="6"/>
  <c r="AO190" i="1" s="1"/>
  <c r="F184" i="6"/>
  <c r="AO189" i="1" s="1"/>
  <c r="F183" i="6"/>
  <c r="AO188" i="1" s="1"/>
  <c r="F182" i="6"/>
  <c r="AO187" i="1" s="1"/>
  <c r="F181" i="6"/>
  <c r="AO186" i="1" s="1"/>
  <c r="F180" i="6"/>
  <c r="AO185" i="1" s="1"/>
  <c r="F179" i="6"/>
  <c r="AO184" i="1" s="1"/>
  <c r="F178" i="6"/>
  <c r="AO183" i="1" s="1"/>
  <c r="F177" i="6"/>
  <c r="AO182" i="1" s="1"/>
  <c r="F176" i="6"/>
  <c r="AO181" i="1" s="1"/>
  <c r="F175" i="6"/>
  <c r="AO180" i="1" s="1"/>
  <c r="F174" i="6"/>
  <c r="AO179" i="1" s="1"/>
  <c r="F173" i="6"/>
  <c r="AO178" i="1" s="1"/>
  <c r="F172" i="6"/>
  <c r="AO177" i="1" s="1"/>
  <c r="F171" i="6"/>
  <c r="AO176" i="1" s="1"/>
  <c r="F170" i="6"/>
  <c r="AO175" i="1" s="1"/>
  <c r="F169" i="6"/>
  <c r="AO174" i="1" s="1"/>
  <c r="F168" i="6"/>
  <c r="AO173" i="1" s="1"/>
  <c r="F167" i="6"/>
  <c r="AO172" i="1" s="1"/>
  <c r="F166" i="6"/>
  <c r="AO171" i="1" s="1"/>
  <c r="F165" i="6"/>
  <c r="AO170" i="1" s="1"/>
  <c r="F164" i="6"/>
  <c r="AO169" i="1" s="1"/>
  <c r="F163" i="6"/>
  <c r="AO168" i="1" s="1"/>
  <c r="F162" i="6"/>
  <c r="AO167" i="1" s="1"/>
  <c r="F161" i="6"/>
  <c r="AO166" i="1" s="1"/>
  <c r="F160" i="6"/>
  <c r="AO165" i="1" s="1"/>
  <c r="F159" i="6"/>
  <c r="AO164" i="1" s="1"/>
  <c r="F158" i="6"/>
  <c r="AO163" i="1" s="1"/>
  <c r="F157" i="6"/>
  <c r="AO162" i="1" s="1"/>
  <c r="F156" i="6"/>
  <c r="AO161" i="1" s="1"/>
  <c r="F155" i="6"/>
  <c r="AO160" i="1" s="1"/>
  <c r="F154" i="6"/>
  <c r="AO159" i="1" s="1"/>
  <c r="F153" i="6"/>
  <c r="AO158" i="1" s="1"/>
  <c r="F152" i="6"/>
  <c r="AO157" i="1" s="1"/>
  <c r="F151" i="6"/>
  <c r="AO156" i="1" s="1"/>
  <c r="F150" i="6"/>
  <c r="AO155" i="1" s="1"/>
  <c r="F149" i="6"/>
  <c r="AO154" i="1" s="1"/>
  <c r="F148" i="6"/>
  <c r="AO153" i="1" s="1"/>
  <c r="F147" i="6"/>
  <c r="AO152" i="1" s="1"/>
  <c r="F146" i="6"/>
  <c r="AO151" i="1" s="1"/>
  <c r="F145" i="6"/>
  <c r="AO150" i="1" s="1"/>
  <c r="F144" i="6"/>
  <c r="AO149" i="1" s="1"/>
  <c r="F143" i="6"/>
  <c r="AO148" i="1" s="1"/>
  <c r="F142" i="6"/>
  <c r="AO147" i="1" s="1"/>
  <c r="F141" i="6"/>
  <c r="AO146" i="1" s="1"/>
  <c r="F140" i="6"/>
  <c r="AO145" i="1" s="1"/>
  <c r="F139" i="6"/>
  <c r="AO144" i="1" s="1"/>
  <c r="F138" i="6"/>
  <c r="AO143" i="1" s="1"/>
  <c r="F137" i="6"/>
  <c r="AO142" i="1" s="1"/>
  <c r="F136" i="6"/>
  <c r="AO141" i="1" s="1"/>
  <c r="F135" i="6"/>
  <c r="AO140" i="1" s="1"/>
  <c r="F134" i="6"/>
  <c r="AO139" i="1" s="1"/>
  <c r="F133" i="6"/>
  <c r="AO138" i="1" s="1"/>
  <c r="F132" i="6"/>
  <c r="AO137" i="1" s="1"/>
  <c r="F131" i="6"/>
  <c r="AO136" i="1" s="1"/>
  <c r="F130" i="6"/>
  <c r="AO135" i="1" s="1"/>
  <c r="F129" i="6"/>
  <c r="AO134" i="1" s="1"/>
  <c r="F128" i="6"/>
  <c r="AO133" i="1" s="1"/>
  <c r="F127" i="6"/>
  <c r="AO132" i="1" s="1"/>
  <c r="F126" i="6"/>
  <c r="AO131" i="1" s="1"/>
  <c r="F125" i="6"/>
  <c r="AO130" i="1" s="1"/>
  <c r="F124" i="6"/>
  <c r="AO129" i="1" s="1"/>
  <c r="F123" i="6"/>
  <c r="AO128" i="1" s="1"/>
  <c r="F122" i="6"/>
  <c r="AO127" i="1" s="1"/>
  <c r="F121" i="6"/>
  <c r="AO126" i="1" s="1"/>
  <c r="F120" i="6"/>
  <c r="AO125" i="1" s="1"/>
  <c r="F119" i="6"/>
  <c r="AO124" i="1" s="1"/>
  <c r="F118" i="6"/>
  <c r="AO123" i="1" s="1"/>
  <c r="F117" i="6"/>
  <c r="AO122" i="1" s="1"/>
  <c r="F116" i="6"/>
  <c r="AO121" i="1" s="1"/>
  <c r="F115" i="6"/>
  <c r="AO120" i="1" s="1"/>
  <c r="F114" i="6"/>
  <c r="AO119" i="1" s="1"/>
  <c r="F113" i="6"/>
  <c r="AO118" i="1" s="1"/>
  <c r="F112" i="6"/>
  <c r="AO117" i="1" s="1"/>
  <c r="F111" i="6"/>
  <c r="AO116" i="1" s="1"/>
  <c r="F110" i="6"/>
  <c r="AO115" i="1" s="1"/>
  <c r="F109" i="6"/>
  <c r="AO114" i="1" s="1"/>
  <c r="F108" i="6"/>
  <c r="AO113" i="1" s="1"/>
  <c r="F107" i="6"/>
  <c r="AO112" i="1" s="1"/>
  <c r="F106" i="6"/>
  <c r="AO111" i="1" s="1"/>
  <c r="F105" i="6"/>
  <c r="AO110" i="1" s="1"/>
  <c r="F104" i="6"/>
  <c r="AO109" i="1" s="1"/>
  <c r="F103" i="6"/>
  <c r="AO108" i="1" s="1"/>
  <c r="F102" i="6"/>
  <c r="AO107" i="1" s="1"/>
  <c r="F101" i="6"/>
  <c r="AO106" i="1" s="1"/>
  <c r="F100" i="6"/>
  <c r="AO105" i="1" s="1"/>
  <c r="F99" i="6"/>
  <c r="AO104" i="1" s="1"/>
  <c r="F98" i="6"/>
  <c r="AO103" i="1" s="1"/>
  <c r="F97" i="6"/>
  <c r="AO102" i="1" s="1"/>
  <c r="F96" i="6"/>
  <c r="AO101" i="1" s="1"/>
  <c r="F95" i="6"/>
  <c r="AO100" i="1" s="1"/>
  <c r="F94" i="6"/>
  <c r="AO99" i="1" s="1"/>
  <c r="F93" i="6"/>
  <c r="AO98" i="1" s="1"/>
  <c r="F92" i="6"/>
  <c r="AO97" i="1" s="1"/>
  <c r="F91" i="6"/>
  <c r="AO96" i="1" s="1"/>
  <c r="F90" i="6"/>
  <c r="AO95" i="1" s="1"/>
  <c r="F88" i="6"/>
  <c r="AO93" i="1" s="1"/>
  <c r="F87" i="6"/>
  <c r="AO92" i="1" s="1"/>
  <c r="F86" i="6"/>
  <c r="AO91" i="1" s="1"/>
  <c r="F85" i="6"/>
  <c r="AO90" i="1" s="1"/>
  <c r="F84" i="6"/>
  <c r="AO89" i="1" s="1"/>
  <c r="F83" i="6"/>
  <c r="AO88" i="1" s="1"/>
  <c r="F82" i="6"/>
  <c r="AO87" i="1" s="1"/>
  <c r="F81" i="6"/>
  <c r="AO86" i="1" s="1"/>
  <c r="F80" i="6"/>
  <c r="AO85" i="1" s="1"/>
  <c r="F79" i="6"/>
  <c r="AO84" i="1" s="1"/>
  <c r="F78" i="6"/>
  <c r="AO83" i="1" s="1"/>
  <c r="F77" i="6"/>
  <c r="AO82" i="1" s="1"/>
  <c r="F76" i="6"/>
  <c r="AO81" i="1" s="1"/>
  <c r="F75" i="6"/>
  <c r="AO80" i="1" s="1"/>
  <c r="F74" i="6"/>
  <c r="AO79" i="1" s="1"/>
  <c r="F73" i="6"/>
  <c r="AO78" i="1" s="1"/>
  <c r="F72" i="6"/>
  <c r="AO77" i="1" s="1"/>
  <c r="F71" i="6"/>
  <c r="AO76" i="1" s="1"/>
  <c r="F70" i="6"/>
  <c r="AO75" i="1" s="1"/>
  <c r="F69" i="6"/>
  <c r="AO74" i="1" s="1"/>
  <c r="F68" i="6"/>
  <c r="AO73" i="1" s="1"/>
  <c r="F67" i="6"/>
  <c r="AO72" i="1" s="1"/>
  <c r="F66" i="6"/>
  <c r="AO71" i="1" s="1"/>
  <c r="F65" i="6"/>
  <c r="AO70" i="1" s="1"/>
  <c r="F64" i="6"/>
  <c r="AO69" i="1" s="1"/>
  <c r="F63" i="6"/>
  <c r="AO68" i="1" s="1"/>
  <c r="F62" i="6"/>
  <c r="AO67" i="1" s="1"/>
  <c r="F61" i="6"/>
  <c r="AO66" i="1" s="1"/>
  <c r="F60" i="6"/>
  <c r="AO65" i="1" s="1"/>
  <c r="F59" i="6"/>
  <c r="AO64" i="1" s="1"/>
  <c r="F58" i="6"/>
  <c r="AO63" i="1" s="1"/>
  <c r="F57" i="6"/>
  <c r="AO62" i="1" s="1"/>
  <c r="F56" i="6"/>
  <c r="AO61" i="1" s="1"/>
  <c r="F55" i="6"/>
  <c r="AO60" i="1" s="1"/>
  <c r="F54" i="6"/>
  <c r="AO59" i="1" s="1"/>
  <c r="F53" i="6"/>
  <c r="AO58" i="1" s="1"/>
  <c r="F52" i="6"/>
  <c r="AO57" i="1" s="1"/>
  <c r="F51" i="6"/>
  <c r="AO56" i="1" s="1"/>
  <c r="F50" i="6"/>
  <c r="AO55" i="1" s="1"/>
  <c r="F49" i="6"/>
  <c r="AO54" i="1" s="1"/>
  <c r="F48" i="6"/>
  <c r="AO53" i="1" s="1"/>
  <c r="F47" i="6"/>
  <c r="AO52" i="1" s="1"/>
  <c r="F46" i="6"/>
  <c r="AO51" i="1" s="1"/>
  <c r="F45" i="6"/>
  <c r="AO50" i="1" s="1"/>
  <c r="F44" i="6"/>
  <c r="AO49" i="1" s="1"/>
  <c r="F43" i="6"/>
  <c r="AO48" i="1" s="1"/>
  <c r="F42" i="6"/>
  <c r="AO47" i="1" s="1"/>
  <c r="F41" i="6"/>
  <c r="AO46" i="1" s="1"/>
  <c r="F40" i="6"/>
  <c r="AO45" i="1" s="1"/>
  <c r="F39" i="6"/>
  <c r="AO44" i="1" s="1"/>
  <c r="F38" i="6"/>
  <c r="AO43" i="1" s="1"/>
  <c r="F37" i="6"/>
  <c r="AO42" i="1" s="1"/>
  <c r="F36" i="6"/>
  <c r="AO41" i="1" s="1"/>
  <c r="F35" i="6"/>
  <c r="AO40" i="1" s="1"/>
  <c r="F34" i="6"/>
  <c r="AO39" i="1" s="1"/>
  <c r="F33" i="6"/>
  <c r="AO38" i="1" s="1"/>
  <c r="F32" i="6"/>
  <c r="AO37" i="1" s="1"/>
  <c r="F31" i="6"/>
  <c r="AO36" i="1" s="1"/>
  <c r="F30" i="6"/>
  <c r="AO35" i="1" s="1"/>
  <c r="F29" i="6"/>
  <c r="AO34" i="1" s="1"/>
  <c r="F28" i="6"/>
  <c r="AO33" i="1" s="1"/>
  <c r="F27" i="6"/>
  <c r="AO32" i="1" s="1"/>
  <c r="F26" i="6"/>
  <c r="AO31" i="1" s="1"/>
  <c r="F25" i="6"/>
  <c r="AO30" i="1" s="1"/>
  <c r="F24" i="6"/>
  <c r="AO29" i="1" s="1"/>
  <c r="F23" i="6"/>
  <c r="AO28" i="1" s="1"/>
  <c r="F22" i="6"/>
  <c r="AO27" i="1" s="1"/>
  <c r="F21" i="6"/>
  <c r="AO26" i="1" s="1"/>
  <c r="F20" i="6"/>
  <c r="AO25" i="1" s="1"/>
  <c r="F19" i="6"/>
  <c r="AO24" i="1" s="1"/>
  <c r="F18" i="6"/>
  <c r="AO23" i="1" s="1"/>
  <c r="F17" i="6"/>
  <c r="AO22" i="1" s="1"/>
  <c r="F16" i="6"/>
  <c r="AO21" i="1" s="1"/>
  <c r="F15" i="6"/>
  <c r="AO20" i="1" s="1"/>
  <c r="F14" i="6"/>
  <c r="AO19" i="1" s="1"/>
  <c r="F13" i="6"/>
  <c r="AO18" i="1" s="1"/>
  <c r="F12" i="6"/>
  <c r="AO17" i="1" s="1"/>
  <c r="F11" i="6"/>
  <c r="AO16" i="1" s="1"/>
  <c r="F10" i="6"/>
  <c r="AO15" i="1" s="1"/>
  <c r="F9" i="6"/>
  <c r="AO14" i="1" s="1"/>
  <c r="F8" i="6"/>
  <c r="AO13" i="1" s="1"/>
  <c r="F7" i="6"/>
  <c r="AO12" i="1" s="1"/>
  <c r="F6" i="6"/>
  <c r="AO11" i="1" s="1"/>
  <c r="L56" i="1" l="1"/>
  <c r="H70" i="1"/>
  <c r="H65" i="1"/>
  <c r="AN65" i="1" s="1"/>
  <c r="M274" i="1"/>
  <c r="L274" i="1"/>
  <c r="K274" i="1"/>
  <c r="J274" i="1"/>
  <c r="I274" i="1"/>
  <c r="AJ273" i="1"/>
  <c r="AI273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P273" i="1"/>
  <c r="O273" i="1"/>
  <c r="N273" i="1"/>
  <c r="M273" i="1"/>
  <c r="L273" i="1"/>
  <c r="K273" i="1"/>
  <c r="J273" i="1"/>
  <c r="I273" i="1"/>
  <c r="H273" i="1"/>
  <c r="G273" i="1"/>
  <c r="F273" i="1"/>
  <c r="E273" i="1"/>
  <c r="AJ271" i="1"/>
  <c r="AI271" i="1"/>
  <c r="AH271" i="1"/>
  <c r="AG271" i="1"/>
  <c r="AF271" i="1"/>
  <c r="AE271" i="1"/>
  <c r="AD271" i="1"/>
  <c r="AC271" i="1"/>
  <c r="AB271" i="1"/>
  <c r="AA271" i="1"/>
  <c r="Z271" i="1"/>
  <c r="Y271" i="1"/>
  <c r="X271" i="1"/>
  <c r="R271" i="1"/>
  <c r="Q271" i="1"/>
  <c r="P271" i="1"/>
  <c r="O271" i="1"/>
  <c r="N271" i="1"/>
  <c r="M271" i="1"/>
  <c r="L271" i="1"/>
  <c r="K271" i="1"/>
  <c r="J271" i="1"/>
  <c r="I271" i="1"/>
  <c r="H271" i="1"/>
  <c r="G271" i="1"/>
  <c r="F271" i="1"/>
  <c r="E271" i="1"/>
  <c r="M270" i="1"/>
  <c r="L270" i="1"/>
  <c r="K270" i="1"/>
  <c r="J270" i="1"/>
  <c r="I270" i="1"/>
  <c r="AJ269" i="1"/>
  <c r="AI269" i="1"/>
  <c r="AH269" i="1"/>
  <c r="AG269" i="1"/>
  <c r="AF269" i="1"/>
  <c r="AE269" i="1"/>
  <c r="AD269" i="1"/>
  <c r="AC269" i="1"/>
  <c r="AB269" i="1"/>
  <c r="AA269" i="1"/>
  <c r="Z269" i="1"/>
  <c r="Y269" i="1"/>
  <c r="X269" i="1"/>
  <c r="R269" i="1"/>
  <c r="Q269" i="1"/>
  <c r="P269" i="1"/>
  <c r="O269" i="1"/>
  <c r="N269" i="1"/>
  <c r="H269" i="1"/>
  <c r="G269" i="1"/>
  <c r="F269" i="1"/>
  <c r="E269" i="1"/>
  <c r="M268" i="1"/>
  <c r="L268" i="1"/>
  <c r="K268" i="1"/>
  <c r="J268" i="1"/>
  <c r="I268" i="1"/>
  <c r="S267" i="1"/>
  <c r="R267" i="1"/>
  <c r="Q267" i="1"/>
  <c r="P267" i="1"/>
  <c r="O267" i="1"/>
  <c r="N267" i="1"/>
  <c r="H267" i="1"/>
  <c r="G267" i="1"/>
  <c r="F267" i="1"/>
  <c r="E267" i="1"/>
  <c r="H266" i="1"/>
  <c r="G266" i="1"/>
  <c r="F266" i="1"/>
  <c r="E266" i="1"/>
  <c r="M264" i="1"/>
  <c r="L264" i="1"/>
  <c r="K264" i="1"/>
  <c r="J264" i="1"/>
  <c r="I264" i="1"/>
  <c r="M263" i="1"/>
  <c r="L263" i="1"/>
  <c r="K263" i="1"/>
  <c r="J263" i="1"/>
  <c r="I263" i="1"/>
  <c r="AJ262" i="1"/>
  <c r="AI262" i="1"/>
  <c r="AH262" i="1"/>
  <c r="AG262" i="1"/>
  <c r="AF262" i="1"/>
  <c r="AE262" i="1"/>
  <c r="AD262" i="1"/>
  <c r="AC262" i="1"/>
  <c r="AB262" i="1"/>
  <c r="AA262" i="1"/>
  <c r="Z262" i="1"/>
  <c r="Y262" i="1"/>
  <c r="X262" i="1"/>
  <c r="W262" i="1"/>
  <c r="V262" i="1"/>
  <c r="U262" i="1"/>
  <c r="T262" i="1"/>
  <c r="S262" i="1"/>
  <c r="R262" i="1"/>
  <c r="Q262" i="1"/>
  <c r="P262" i="1"/>
  <c r="O262" i="1"/>
  <c r="N262" i="1"/>
  <c r="H262" i="1"/>
  <c r="G262" i="1"/>
  <c r="F262" i="1"/>
  <c r="E262" i="1"/>
  <c r="AJ261" i="1"/>
  <c r="AI261" i="1"/>
  <c r="AH261" i="1"/>
  <c r="AG261" i="1"/>
  <c r="AF261" i="1"/>
  <c r="AE261" i="1"/>
  <c r="AD261" i="1"/>
  <c r="AC261" i="1"/>
  <c r="AB260" i="1"/>
  <c r="AA260" i="1"/>
  <c r="Z260" i="1"/>
  <c r="Y260" i="1"/>
  <c r="X260" i="1"/>
  <c r="W260" i="1"/>
  <c r="V260" i="1"/>
  <c r="U260" i="1"/>
  <c r="T260" i="1"/>
  <c r="S260" i="1"/>
  <c r="R259" i="1"/>
  <c r="Q259" i="1"/>
  <c r="P259" i="1"/>
  <c r="O259" i="1"/>
  <c r="N259" i="1"/>
  <c r="H258" i="1"/>
  <c r="G258" i="1"/>
  <c r="F258" i="1"/>
  <c r="E258" i="1"/>
  <c r="AB257" i="1"/>
  <c r="AA257" i="1"/>
  <c r="Z257" i="1"/>
  <c r="Y257" i="1"/>
  <c r="X257" i="1"/>
  <c r="W257" i="1"/>
  <c r="V257" i="1"/>
  <c r="U257" i="1"/>
  <c r="T257" i="1"/>
  <c r="S257" i="1"/>
  <c r="AJ256" i="1"/>
  <c r="AI256" i="1"/>
  <c r="AH256" i="1"/>
  <c r="AG256" i="1"/>
  <c r="AF256" i="1"/>
  <c r="AE256" i="1"/>
  <c r="AD256" i="1"/>
  <c r="AC256" i="1"/>
  <c r="R256" i="1"/>
  <c r="Q256" i="1"/>
  <c r="P256" i="1"/>
  <c r="O256" i="1"/>
  <c r="N256" i="1"/>
  <c r="H256" i="1"/>
  <c r="G256" i="1"/>
  <c r="F256" i="1"/>
  <c r="E256" i="1"/>
  <c r="AF255" i="1"/>
  <c r="AN255" i="1" s="1"/>
  <c r="AE254" i="1"/>
  <c r="AN254" i="1" s="1"/>
  <c r="AD253" i="1"/>
  <c r="AN253" i="1" s="1"/>
  <c r="AC252" i="1"/>
  <c r="AN252" i="1" s="1"/>
  <c r="AJ251" i="1"/>
  <c r="AN251" i="1" s="1"/>
  <c r="AI250" i="1"/>
  <c r="AN250" i="1" s="1"/>
  <c r="AH249" i="1"/>
  <c r="AN249" i="1" s="1"/>
  <c r="AG248" i="1"/>
  <c r="AN248" i="1" s="1"/>
  <c r="AB247" i="1"/>
  <c r="AN247" i="1" s="1"/>
  <c r="AA246" i="1"/>
  <c r="AN246" i="1" s="1"/>
  <c r="Z245" i="1"/>
  <c r="AN245" i="1" s="1"/>
  <c r="Y244" i="1"/>
  <c r="AN244" i="1" s="1"/>
  <c r="X243" i="1"/>
  <c r="AN243" i="1" s="1"/>
  <c r="W242" i="1"/>
  <c r="AN242" i="1" s="1"/>
  <c r="V241" i="1"/>
  <c r="AN241" i="1" s="1"/>
  <c r="U240" i="1"/>
  <c r="AN240" i="1" s="1"/>
  <c r="T239" i="1"/>
  <c r="AN239" i="1" s="1"/>
  <c r="S238" i="1"/>
  <c r="AN238" i="1" s="1"/>
  <c r="R237" i="1"/>
  <c r="AN237" i="1" s="1"/>
  <c r="Q236" i="1"/>
  <c r="AN236" i="1" s="1"/>
  <c r="P235" i="1"/>
  <c r="AN235" i="1" s="1"/>
  <c r="O234" i="1"/>
  <c r="AN234" i="1" s="1"/>
  <c r="N233" i="1"/>
  <c r="AN233" i="1" s="1"/>
  <c r="M232" i="1"/>
  <c r="AN232" i="1" s="1"/>
  <c r="L231" i="1"/>
  <c r="AN231" i="1" s="1"/>
  <c r="K230" i="1"/>
  <c r="AN230" i="1" s="1"/>
  <c r="J229" i="1"/>
  <c r="AN229" i="1" s="1"/>
  <c r="I228" i="1"/>
  <c r="AN228" i="1" s="1"/>
  <c r="H227" i="1"/>
  <c r="AN227" i="1" s="1"/>
  <c r="G226" i="1"/>
  <c r="AN226" i="1" s="1"/>
  <c r="F225" i="1"/>
  <c r="AN225" i="1" s="1"/>
  <c r="E224" i="1"/>
  <c r="AN224" i="1" s="1"/>
  <c r="AJ223" i="1"/>
  <c r="AF223" i="1"/>
  <c r="AN223" i="1" s="1"/>
  <c r="AI222" i="1"/>
  <c r="AE222" i="1"/>
  <c r="AH221" i="1"/>
  <c r="AD221" i="1"/>
  <c r="AN221" i="1" s="1"/>
  <c r="AG220" i="1"/>
  <c r="AC220" i="1"/>
  <c r="AB219" i="1"/>
  <c r="AN219" i="1" s="1"/>
  <c r="AA218" i="1"/>
  <c r="AN218" i="1" s="1"/>
  <c r="Z217" i="1"/>
  <c r="AN217" i="1" s="1"/>
  <c r="Y216" i="1"/>
  <c r="AN216" i="1" s="1"/>
  <c r="X215" i="1"/>
  <c r="AN215" i="1" s="1"/>
  <c r="R214" i="1"/>
  <c r="AN214" i="1" s="1"/>
  <c r="Q213" i="1"/>
  <c r="AN213" i="1" s="1"/>
  <c r="P212" i="1"/>
  <c r="AN212" i="1" s="1"/>
  <c r="O211" i="1"/>
  <c r="AN211" i="1" s="1"/>
  <c r="N210" i="1"/>
  <c r="AN210" i="1" s="1"/>
  <c r="M209" i="1"/>
  <c r="AN209" i="1" s="1"/>
  <c r="L208" i="1"/>
  <c r="AN208" i="1" s="1"/>
  <c r="K207" i="1"/>
  <c r="AN207" i="1" s="1"/>
  <c r="J206" i="1"/>
  <c r="AN206" i="1" s="1"/>
  <c r="I205" i="1"/>
  <c r="AN205" i="1" s="1"/>
  <c r="H204" i="1"/>
  <c r="AN204" i="1" s="1"/>
  <c r="G203" i="1"/>
  <c r="AN203" i="1" s="1"/>
  <c r="F202" i="1"/>
  <c r="AN202" i="1" s="1"/>
  <c r="E201" i="1"/>
  <c r="AN201" i="1" s="1"/>
  <c r="AJ200" i="1"/>
  <c r="AF200" i="1"/>
  <c r="AI199" i="1"/>
  <c r="AE199" i="1"/>
  <c r="AH198" i="1"/>
  <c r="AD198" i="1"/>
  <c r="AG197" i="1"/>
  <c r="AC197" i="1"/>
  <c r="AB196" i="1"/>
  <c r="AN196" i="1" s="1"/>
  <c r="AA195" i="1"/>
  <c r="AN195" i="1" s="1"/>
  <c r="Z194" i="1"/>
  <c r="AN194" i="1" s="1"/>
  <c r="Y193" i="1"/>
  <c r="AN193" i="1" s="1"/>
  <c r="X192" i="1"/>
  <c r="AN192" i="1" s="1"/>
  <c r="W191" i="1"/>
  <c r="AN191" i="1" s="1"/>
  <c r="V190" i="1"/>
  <c r="AN190" i="1" s="1"/>
  <c r="U189" i="1"/>
  <c r="AN189" i="1" s="1"/>
  <c r="T188" i="1"/>
  <c r="AN188" i="1" s="1"/>
  <c r="S187" i="1"/>
  <c r="AN187" i="1" s="1"/>
  <c r="R186" i="1"/>
  <c r="AN186" i="1" s="1"/>
  <c r="Q185" i="1"/>
  <c r="AN185" i="1" s="1"/>
  <c r="P184" i="1"/>
  <c r="AN184" i="1" s="1"/>
  <c r="O183" i="1"/>
  <c r="AN183" i="1" s="1"/>
  <c r="N182" i="1"/>
  <c r="AN182" i="1" s="1"/>
  <c r="M181" i="1"/>
  <c r="AN181" i="1" s="1"/>
  <c r="L180" i="1"/>
  <c r="AN180" i="1" s="1"/>
  <c r="K179" i="1"/>
  <c r="AN179" i="1" s="1"/>
  <c r="J178" i="1"/>
  <c r="AN178" i="1" s="1"/>
  <c r="I177" i="1"/>
  <c r="AN177" i="1" s="1"/>
  <c r="H176" i="1"/>
  <c r="AN176" i="1" s="1"/>
  <c r="G175" i="1"/>
  <c r="AN175" i="1" s="1"/>
  <c r="F174" i="1"/>
  <c r="AN174" i="1" s="1"/>
  <c r="E173" i="1"/>
  <c r="AN173" i="1" s="1"/>
  <c r="W171" i="1"/>
  <c r="V171" i="1"/>
  <c r="U171" i="1"/>
  <c r="T171" i="1"/>
  <c r="S171" i="1"/>
  <c r="W170" i="1"/>
  <c r="V170" i="1"/>
  <c r="U170" i="1"/>
  <c r="T170" i="1"/>
  <c r="S170" i="1"/>
  <c r="W169" i="1"/>
  <c r="V169" i="1"/>
  <c r="U169" i="1"/>
  <c r="T169" i="1"/>
  <c r="S169" i="1"/>
  <c r="W167" i="1"/>
  <c r="V167" i="1"/>
  <c r="U167" i="1"/>
  <c r="T167" i="1"/>
  <c r="S167" i="1"/>
  <c r="R167" i="1"/>
  <c r="Q167" i="1"/>
  <c r="P167" i="1"/>
  <c r="O167" i="1"/>
  <c r="N167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P166" i="1"/>
  <c r="O166" i="1"/>
  <c r="N166" i="1"/>
  <c r="M166" i="1"/>
  <c r="L166" i="1"/>
  <c r="K166" i="1"/>
  <c r="J166" i="1"/>
  <c r="I166" i="1"/>
  <c r="H166" i="1"/>
  <c r="G166" i="1"/>
  <c r="F166" i="1"/>
  <c r="E166" i="1"/>
  <c r="AJ165" i="1"/>
  <c r="AI165" i="1"/>
  <c r="AH165" i="1"/>
  <c r="AF165" i="1"/>
  <c r="AE165" i="1"/>
  <c r="AD165" i="1"/>
  <c r="AB165" i="1"/>
  <c r="AA165" i="1"/>
  <c r="Z165" i="1"/>
  <c r="Y165" i="1"/>
  <c r="W165" i="1"/>
  <c r="V165" i="1"/>
  <c r="U165" i="1"/>
  <c r="T165" i="1"/>
  <c r="AG164" i="1"/>
  <c r="AC164" i="1"/>
  <c r="X164" i="1"/>
  <c r="S164" i="1"/>
  <c r="N163" i="1"/>
  <c r="AN163" i="1" s="1"/>
  <c r="N162" i="1"/>
  <c r="AN162" i="1" s="1"/>
  <c r="N161" i="1"/>
  <c r="AN161" i="1" s="1"/>
  <c r="N160" i="1"/>
  <c r="AN160" i="1" s="1"/>
  <c r="R159" i="1"/>
  <c r="Q159" i="1"/>
  <c r="P159" i="1"/>
  <c r="O159" i="1"/>
  <c r="R158" i="1"/>
  <c r="Q158" i="1"/>
  <c r="P158" i="1"/>
  <c r="O158" i="1"/>
  <c r="R157" i="1"/>
  <c r="Q157" i="1"/>
  <c r="P157" i="1"/>
  <c r="O157" i="1"/>
  <c r="R156" i="1"/>
  <c r="Q156" i="1"/>
  <c r="P156" i="1"/>
  <c r="O156" i="1"/>
  <c r="M155" i="1"/>
  <c r="K155" i="1"/>
  <c r="J155" i="1"/>
  <c r="H155" i="1"/>
  <c r="G155" i="1"/>
  <c r="F155" i="1"/>
  <c r="L154" i="1"/>
  <c r="I154" i="1"/>
  <c r="E154" i="1"/>
  <c r="L153" i="1"/>
  <c r="I153" i="1"/>
  <c r="E153" i="1"/>
  <c r="M152" i="1"/>
  <c r="K152" i="1"/>
  <c r="J152" i="1"/>
  <c r="H152" i="1"/>
  <c r="G152" i="1"/>
  <c r="F152" i="1"/>
  <c r="AF151" i="1"/>
  <c r="AE151" i="1"/>
  <c r="AD151" i="1"/>
  <c r="AC151" i="1"/>
  <c r="AJ150" i="1"/>
  <c r="AI150" i="1"/>
  <c r="AH150" i="1"/>
  <c r="AG150" i="1"/>
  <c r="AJ149" i="1"/>
  <c r="AI149" i="1"/>
  <c r="AH149" i="1"/>
  <c r="AG149" i="1"/>
  <c r="AB148" i="1"/>
  <c r="AA148" i="1"/>
  <c r="Z148" i="1"/>
  <c r="Y148" i="1"/>
  <c r="X148" i="1"/>
  <c r="AB147" i="1"/>
  <c r="AA147" i="1"/>
  <c r="Z147" i="1"/>
  <c r="Y147" i="1"/>
  <c r="X147" i="1"/>
  <c r="W146" i="1"/>
  <c r="V146" i="1"/>
  <c r="U146" i="1"/>
  <c r="T146" i="1"/>
  <c r="S146" i="1"/>
  <c r="S145" i="1"/>
  <c r="R145" i="1"/>
  <c r="Q145" i="1"/>
  <c r="P145" i="1"/>
  <c r="O145" i="1"/>
  <c r="N145" i="1"/>
  <c r="S144" i="1"/>
  <c r="R144" i="1"/>
  <c r="Q144" i="1"/>
  <c r="P144" i="1"/>
  <c r="O144" i="1"/>
  <c r="N144" i="1"/>
  <c r="H143" i="1"/>
  <c r="G143" i="1"/>
  <c r="F143" i="1"/>
  <c r="E143" i="1"/>
  <c r="N142" i="1"/>
  <c r="M142" i="1"/>
  <c r="L142" i="1"/>
  <c r="K141" i="1"/>
  <c r="J141" i="1"/>
  <c r="I141" i="1"/>
  <c r="H140" i="1"/>
  <c r="G140" i="1"/>
  <c r="F140" i="1"/>
  <c r="E140" i="1"/>
  <c r="AJ139" i="1"/>
  <c r="AF139" i="1"/>
  <c r="AB139" i="1"/>
  <c r="W139" i="1"/>
  <c r="AI138" i="1"/>
  <c r="AE138" i="1"/>
  <c r="AA138" i="1"/>
  <c r="V138" i="1"/>
  <c r="AH137" i="1"/>
  <c r="AD137" i="1"/>
  <c r="Z137" i="1"/>
  <c r="U137" i="1"/>
  <c r="Y136" i="1"/>
  <c r="T136" i="1"/>
  <c r="AG135" i="1"/>
  <c r="AC135" i="1"/>
  <c r="X135" i="1"/>
  <c r="S135" i="1"/>
  <c r="AJ134" i="1"/>
  <c r="AF134" i="1"/>
  <c r="AB134" i="1"/>
  <c r="W134" i="1"/>
  <c r="AI133" i="1"/>
  <c r="AE133" i="1"/>
  <c r="AA133" i="1"/>
  <c r="V133" i="1"/>
  <c r="AH132" i="1"/>
  <c r="AD132" i="1"/>
  <c r="Z132" i="1"/>
  <c r="U132" i="1"/>
  <c r="Y131" i="1"/>
  <c r="T131" i="1"/>
  <c r="AG130" i="1"/>
  <c r="AC130" i="1"/>
  <c r="X130" i="1"/>
  <c r="S130" i="1"/>
  <c r="R129" i="1"/>
  <c r="H129" i="1"/>
  <c r="Q128" i="1"/>
  <c r="M128" i="1"/>
  <c r="K128" i="1"/>
  <c r="G128" i="1"/>
  <c r="P127" i="1"/>
  <c r="F127" i="1"/>
  <c r="O126" i="1"/>
  <c r="J126" i="1"/>
  <c r="N125" i="1"/>
  <c r="L125" i="1"/>
  <c r="I125" i="1"/>
  <c r="E125" i="1"/>
  <c r="R124" i="1"/>
  <c r="H124" i="1"/>
  <c r="Q123" i="1"/>
  <c r="M123" i="1"/>
  <c r="K123" i="1"/>
  <c r="G123" i="1"/>
  <c r="P122" i="1"/>
  <c r="AN122" i="1" s="1"/>
  <c r="O121" i="1"/>
  <c r="J121" i="1"/>
  <c r="F121" i="1"/>
  <c r="N120" i="1"/>
  <c r="L120" i="1"/>
  <c r="I120" i="1"/>
  <c r="E120" i="1"/>
  <c r="AJ119" i="1"/>
  <c r="AI119" i="1"/>
  <c r="AH119" i="1"/>
  <c r="AG118" i="1"/>
  <c r="AN118" i="1" s="1"/>
  <c r="AF117" i="1"/>
  <c r="AE117" i="1"/>
  <c r="AD117" i="1"/>
  <c r="AB117" i="1"/>
  <c r="AA117" i="1"/>
  <c r="Z117" i="1"/>
  <c r="Y117" i="1"/>
  <c r="W117" i="1"/>
  <c r="V117" i="1"/>
  <c r="U117" i="1"/>
  <c r="T117" i="1"/>
  <c r="AC116" i="1"/>
  <c r="X116" i="1"/>
  <c r="S116" i="1"/>
  <c r="R115" i="1"/>
  <c r="H115" i="1"/>
  <c r="R114" i="1"/>
  <c r="H114" i="1"/>
  <c r="Q113" i="1"/>
  <c r="M113" i="1"/>
  <c r="K113" i="1"/>
  <c r="G113" i="1"/>
  <c r="Q112" i="1"/>
  <c r="M112" i="1"/>
  <c r="K112" i="1"/>
  <c r="G112" i="1"/>
  <c r="P111" i="1"/>
  <c r="AN111" i="1" s="1"/>
  <c r="P110" i="1"/>
  <c r="AN110" i="1" s="1"/>
  <c r="O109" i="1"/>
  <c r="J109" i="1"/>
  <c r="F109" i="1"/>
  <c r="O108" i="1"/>
  <c r="J108" i="1"/>
  <c r="F108" i="1"/>
  <c r="N107" i="1"/>
  <c r="L107" i="1"/>
  <c r="I107" i="1"/>
  <c r="E107" i="1"/>
  <c r="N106" i="1"/>
  <c r="L106" i="1"/>
  <c r="I106" i="1"/>
  <c r="E106" i="1"/>
  <c r="AJ105" i="1"/>
  <c r="AI105" i="1"/>
  <c r="AH105" i="1"/>
  <c r="AF105" i="1"/>
  <c r="AE105" i="1"/>
  <c r="AD105" i="1"/>
  <c r="AB105" i="1"/>
  <c r="AA105" i="1"/>
  <c r="Z105" i="1"/>
  <c r="Y105" i="1"/>
  <c r="W105" i="1"/>
  <c r="V105" i="1"/>
  <c r="U105" i="1"/>
  <c r="T105" i="1"/>
  <c r="AG104" i="1"/>
  <c r="AC104" i="1"/>
  <c r="X104" i="1"/>
  <c r="S104" i="1"/>
  <c r="R103" i="1"/>
  <c r="AN103" i="1" s="1"/>
  <c r="Q102" i="1"/>
  <c r="AN102" i="1" s="1"/>
  <c r="P101" i="1"/>
  <c r="AN101" i="1" s="1"/>
  <c r="O100" i="1"/>
  <c r="AN100" i="1" s="1"/>
  <c r="N99" i="1"/>
  <c r="AN99" i="1" s="1"/>
  <c r="H98" i="1"/>
  <c r="AN98" i="1" s="1"/>
  <c r="M97" i="1"/>
  <c r="K97" i="1"/>
  <c r="G97" i="1"/>
  <c r="J96" i="1"/>
  <c r="F96" i="1"/>
  <c r="L95" i="1"/>
  <c r="I95" i="1"/>
  <c r="E95" i="1"/>
  <c r="AN263" i="1" l="1"/>
  <c r="AN268" i="1"/>
  <c r="AN271" i="1"/>
  <c r="AN96" i="1"/>
  <c r="AN109" i="1"/>
  <c r="AN117" i="1"/>
  <c r="AN119" i="1"/>
  <c r="AN149" i="1"/>
  <c r="AN150" i="1"/>
  <c r="AN151" i="1"/>
  <c r="AN152" i="1"/>
  <c r="AN155" i="1"/>
  <c r="AN166" i="1"/>
  <c r="AN167" i="1"/>
  <c r="AN171" i="1"/>
  <c r="AN220" i="1"/>
  <c r="AN222" i="1"/>
  <c r="AN256" i="1"/>
  <c r="AN260" i="1"/>
  <c r="AN95" i="1"/>
  <c r="AN106" i="1"/>
  <c r="AN107" i="1"/>
  <c r="AN108" i="1"/>
  <c r="AN112" i="1"/>
  <c r="AN113" i="1"/>
  <c r="AN114" i="1"/>
  <c r="AN116" i="1"/>
  <c r="AN125" i="1"/>
  <c r="AN126" i="1"/>
  <c r="AN128" i="1"/>
  <c r="AN129" i="1"/>
  <c r="AN132" i="1"/>
  <c r="AN133" i="1"/>
  <c r="AN134" i="1"/>
  <c r="AN135" i="1"/>
  <c r="AN136" i="1"/>
  <c r="AN143" i="1"/>
  <c r="AN144" i="1"/>
  <c r="AN146" i="1"/>
  <c r="AN154" i="1"/>
  <c r="AN197" i="1"/>
  <c r="AN199" i="1"/>
  <c r="AN257" i="1"/>
  <c r="AN264" i="1"/>
  <c r="AN269" i="1"/>
  <c r="AN97" i="1"/>
  <c r="AN142" i="1"/>
  <c r="AN147" i="1"/>
  <c r="AN153" i="1"/>
  <c r="AN156" i="1"/>
  <c r="AN157" i="1"/>
  <c r="AN158" i="1"/>
  <c r="AN159" i="1"/>
  <c r="AN164" i="1"/>
  <c r="AN165" i="1"/>
  <c r="AN169" i="1"/>
  <c r="AN261" i="1"/>
  <c r="AN262" i="1"/>
  <c r="AN104" i="1"/>
  <c r="AN105" i="1"/>
  <c r="AN115" i="1"/>
  <c r="AN120" i="1"/>
  <c r="AN121" i="1"/>
  <c r="AN123" i="1"/>
  <c r="AN124" i="1"/>
  <c r="AN127" i="1"/>
  <c r="AN130" i="1"/>
  <c r="AN131" i="1"/>
  <c r="AN137" i="1"/>
  <c r="AN138" i="1"/>
  <c r="AN139" i="1"/>
  <c r="AN140" i="1"/>
  <c r="AN141" i="1"/>
  <c r="AN145" i="1"/>
  <c r="AN148" i="1"/>
  <c r="AN170" i="1"/>
  <c r="AN198" i="1"/>
  <c r="AN200" i="1"/>
  <c r="AN258" i="1"/>
  <c r="AN259" i="1"/>
  <c r="AN266" i="1"/>
  <c r="AN267" i="1"/>
  <c r="AN270" i="1"/>
  <c r="AN273" i="1"/>
  <c r="AN274" i="1"/>
  <c r="R37" i="1"/>
  <c r="AN37" i="1" s="1"/>
  <c r="Q36" i="1"/>
  <c r="AN36" i="1" s="1"/>
  <c r="P35" i="1"/>
  <c r="AN35" i="1" s="1"/>
  <c r="O34" i="1"/>
  <c r="AN34" i="1" s="1"/>
  <c r="N33" i="1"/>
  <c r="AN33" i="1" s="1"/>
  <c r="AF69" i="1"/>
  <c r="AE68" i="1"/>
  <c r="AG66" i="1"/>
  <c r="AI68" i="1"/>
  <c r="AJ69" i="1"/>
  <c r="AC66" i="1"/>
  <c r="AB69" i="1"/>
  <c r="AA68" i="1"/>
  <c r="Y67" i="1"/>
  <c r="X66" i="1"/>
  <c r="W69" i="1"/>
  <c r="V68" i="1"/>
  <c r="T67" i="1"/>
  <c r="S66" i="1"/>
  <c r="M77" i="1"/>
  <c r="O75" i="1"/>
  <c r="P76" i="1"/>
  <c r="AN76" i="1" s="1"/>
  <c r="P75" i="1"/>
  <c r="Q75" i="1"/>
  <c r="Q77" i="1"/>
  <c r="R80" i="1"/>
  <c r="R79" i="1"/>
  <c r="K49" i="1"/>
  <c r="K45" i="1"/>
  <c r="L29" i="1"/>
  <c r="L47" i="1"/>
  <c r="L43" i="1"/>
  <c r="J48" i="1"/>
  <c r="J44" i="1"/>
  <c r="J40" i="1"/>
  <c r="M75" i="1" l="1"/>
  <c r="L74" i="1"/>
  <c r="L73" i="1"/>
  <c r="K75" i="1"/>
  <c r="K77" i="1"/>
  <c r="J75" i="1"/>
  <c r="K90" i="1"/>
  <c r="L90" i="1"/>
  <c r="M90" i="1"/>
  <c r="J90" i="1"/>
  <c r="I90" i="1"/>
  <c r="H80" i="1"/>
  <c r="AN80" i="1" s="1"/>
  <c r="H79" i="1"/>
  <c r="AN79" i="1" s="1"/>
  <c r="I47" i="1"/>
  <c r="I43" i="1"/>
  <c r="I39" i="1"/>
  <c r="H32" i="1"/>
  <c r="AN32" i="1" s="1"/>
  <c r="H42" i="1"/>
  <c r="AN42" i="1" s="1"/>
  <c r="H46" i="1"/>
  <c r="AN46" i="1" s="1"/>
  <c r="H50" i="1"/>
  <c r="AN50" i="1" s="1"/>
  <c r="G49" i="1"/>
  <c r="G45" i="1"/>
  <c r="G41" i="1"/>
  <c r="G31" i="1"/>
  <c r="AN31" i="1" s="1"/>
  <c r="G27" i="1"/>
  <c r="H28" i="1"/>
  <c r="I29" i="1"/>
  <c r="J30" i="1"/>
  <c r="K27" i="1"/>
  <c r="K31" i="1"/>
  <c r="K41" i="1"/>
  <c r="L39" i="1"/>
  <c r="G77" i="1"/>
  <c r="AN77" i="1" s="1"/>
  <c r="G64" i="1"/>
  <c r="G69" i="1"/>
  <c r="E73" i="1"/>
  <c r="I74" i="1"/>
  <c r="I73" i="1"/>
  <c r="N74" i="1"/>
  <c r="N73" i="1"/>
  <c r="N72" i="1"/>
  <c r="R70" i="1"/>
  <c r="AN70" i="1" s="1"/>
  <c r="Q69" i="1"/>
  <c r="P68" i="1"/>
  <c r="AN68" i="1" s="1"/>
  <c r="O67" i="1"/>
  <c r="N66" i="1"/>
  <c r="M69" i="1"/>
  <c r="K69" i="1"/>
  <c r="J67" i="1"/>
  <c r="I66" i="1"/>
  <c r="L66" i="1"/>
  <c r="J57" i="1"/>
  <c r="I56" i="1"/>
  <c r="R60" i="1"/>
  <c r="P58" i="1"/>
  <c r="AN58" i="1" s="1"/>
  <c r="O57" i="1"/>
  <c r="N56" i="1"/>
  <c r="Q59" i="1"/>
  <c r="M59" i="1"/>
  <c r="K59" i="1"/>
  <c r="H60" i="1"/>
  <c r="G59" i="1"/>
  <c r="M64" i="1"/>
  <c r="L62" i="1"/>
  <c r="K64" i="1"/>
  <c r="J63" i="1"/>
  <c r="I62" i="1"/>
  <c r="AI52" i="1"/>
  <c r="AJ52" i="1"/>
  <c r="AH52" i="1"/>
  <c r="AG51" i="1"/>
  <c r="AE52" i="1"/>
  <c r="AF52" i="1"/>
  <c r="AD52" i="1"/>
  <c r="AC51" i="1"/>
  <c r="Z52" i="1"/>
  <c r="AA52" i="1"/>
  <c r="AB52" i="1"/>
  <c r="Y52" i="1"/>
  <c r="X51" i="1"/>
  <c r="U52" i="1"/>
  <c r="V52" i="1"/>
  <c r="W52" i="1"/>
  <c r="T52" i="1"/>
  <c r="O52" i="1"/>
  <c r="J52" i="1"/>
  <c r="M49" i="1"/>
  <c r="M45" i="1"/>
  <c r="M41" i="1"/>
  <c r="M31" i="1"/>
  <c r="M27" i="1"/>
  <c r="T26" i="1"/>
  <c r="S25" i="1"/>
  <c r="R28" i="1"/>
  <c r="Q27" i="1"/>
  <c r="P26" i="1"/>
  <c r="AN26" i="1" s="1"/>
  <c r="O25" i="1"/>
  <c r="N24" i="1"/>
  <c r="L24" i="1"/>
  <c r="J25" i="1"/>
  <c r="I24" i="1"/>
  <c r="AG19" i="1"/>
  <c r="AE20" i="1"/>
  <c r="AF20" i="1"/>
  <c r="AH20" i="1"/>
  <c r="AI20" i="1"/>
  <c r="AJ20" i="1"/>
  <c r="AD20" i="1"/>
  <c r="AC19" i="1"/>
  <c r="AB20" i="1"/>
  <c r="Z20" i="1"/>
  <c r="AA20" i="1"/>
  <c r="Y20" i="1"/>
  <c r="X19" i="1"/>
  <c r="U20" i="1"/>
  <c r="V20" i="1"/>
  <c r="W20" i="1"/>
  <c r="T20" i="1"/>
  <c r="S19" i="1"/>
  <c r="AN19" i="1" s="1"/>
  <c r="R18" i="1"/>
  <c r="AN18" i="1" s="1"/>
  <c r="Q17" i="1"/>
  <c r="AN17" i="1" s="1"/>
  <c r="P16" i="1"/>
  <c r="AN16" i="1" s="1"/>
  <c r="O15" i="1"/>
  <c r="AN15" i="1" s="1"/>
  <c r="N14" i="1"/>
  <c r="AN14" i="1" s="1"/>
  <c r="M12" i="1"/>
  <c r="L10" i="1"/>
  <c r="K12" i="1"/>
  <c r="J11" i="1"/>
  <c r="I10" i="1"/>
  <c r="H13" i="1"/>
  <c r="AN13" i="1" s="1"/>
  <c r="G12" i="1"/>
  <c r="AN12" i="1" s="1"/>
  <c r="O22" i="1"/>
  <c r="P22" i="1"/>
  <c r="Q22" i="1"/>
  <c r="R22" i="1"/>
  <c r="N22" i="1"/>
  <c r="AN22" i="1" s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S23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N92" i="1"/>
  <c r="N91" i="1"/>
  <c r="F38" i="1"/>
  <c r="G38" i="1"/>
  <c r="H38" i="1"/>
  <c r="I38" i="1"/>
  <c r="J38" i="1"/>
  <c r="K38" i="1"/>
  <c r="L38" i="1"/>
  <c r="M38" i="1"/>
  <c r="L51" i="1"/>
  <c r="M51" i="1"/>
  <c r="N51" i="1"/>
  <c r="O51" i="1"/>
  <c r="P51" i="1"/>
  <c r="Q51" i="1"/>
  <c r="R51" i="1"/>
  <c r="S51" i="1"/>
  <c r="K51" i="1"/>
  <c r="H51" i="1"/>
  <c r="I51" i="1"/>
  <c r="G51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J61" i="1"/>
  <c r="K61" i="1"/>
  <c r="L61" i="1"/>
  <c r="M61" i="1"/>
  <c r="I61" i="1"/>
  <c r="F61" i="1"/>
  <c r="G61" i="1"/>
  <c r="F72" i="1"/>
  <c r="G72" i="1"/>
  <c r="H72" i="1"/>
  <c r="I72" i="1"/>
  <c r="J72" i="1"/>
  <c r="K72" i="1"/>
  <c r="L72" i="1"/>
  <c r="M72" i="1"/>
  <c r="O72" i="1"/>
  <c r="P72" i="1"/>
  <c r="Q72" i="1"/>
  <c r="R72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G75" i="1"/>
  <c r="F92" i="1"/>
  <c r="G92" i="1"/>
  <c r="H92" i="1"/>
  <c r="F91" i="1"/>
  <c r="G91" i="1"/>
  <c r="H91" i="1"/>
  <c r="F75" i="1"/>
  <c r="AN75" i="1" s="1"/>
  <c r="F67" i="1"/>
  <c r="AN67" i="1" s="1"/>
  <c r="F21" i="1"/>
  <c r="G21" i="1"/>
  <c r="H21" i="1"/>
  <c r="I21" i="1"/>
  <c r="J21" i="1"/>
  <c r="K21" i="1"/>
  <c r="L21" i="1"/>
  <c r="M21" i="1"/>
  <c r="F63" i="1"/>
  <c r="AN63" i="1" s="1"/>
  <c r="F57" i="1"/>
  <c r="F55" i="1"/>
  <c r="F52" i="1"/>
  <c r="F48" i="1"/>
  <c r="AN48" i="1" s="1"/>
  <c r="F44" i="1"/>
  <c r="AN44" i="1" s="1"/>
  <c r="F40" i="1"/>
  <c r="AN40" i="1" s="1"/>
  <c r="F30" i="1"/>
  <c r="F25" i="1"/>
  <c r="F11" i="1"/>
  <c r="AN73" i="1" l="1"/>
  <c r="AN11" i="1"/>
  <c r="AN57" i="1"/>
  <c r="AN69" i="1"/>
  <c r="AN41" i="1"/>
  <c r="AN90" i="1"/>
  <c r="AN25" i="1"/>
  <c r="AN23" i="1"/>
  <c r="AN20" i="1"/>
  <c r="AN59" i="1"/>
  <c r="AN64" i="1"/>
  <c r="AN28" i="1"/>
  <c r="AN45" i="1"/>
  <c r="AN30" i="1"/>
  <c r="AN52" i="1"/>
  <c r="AN60" i="1"/>
  <c r="AN27" i="1"/>
  <c r="AN49" i="1"/>
  <c r="E92" i="1"/>
  <c r="AN92" i="1" s="1"/>
  <c r="E91" i="1"/>
  <c r="AN91" i="1" s="1"/>
  <c r="E74" i="1"/>
  <c r="AN74" i="1" s="1"/>
  <c r="E72" i="1"/>
  <c r="AN72" i="1" s="1"/>
  <c r="E71" i="1"/>
  <c r="AN71" i="1" s="1"/>
  <c r="E66" i="1"/>
  <c r="AN66" i="1" s="1"/>
  <c r="E62" i="1"/>
  <c r="AN62" i="1" s="1"/>
  <c r="E61" i="1"/>
  <c r="AN61" i="1" s="1"/>
  <c r="E56" i="1"/>
  <c r="AN56" i="1" s="1"/>
  <c r="E55" i="1"/>
  <c r="AN55" i="1" s="1"/>
  <c r="E54" i="1"/>
  <c r="AN54" i="1" s="1"/>
  <c r="E53" i="1"/>
  <c r="AN53" i="1" s="1"/>
  <c r="E51" i="1"/>
  <c r="AN51" i="1" s="1"/>
  <c r="E47" i="1"/>
  <c r="AN47" i="1" s="1"/>
  <c r="E43" i="1"/>
  <c r="AN43" i="1" s="1"/>
  <c r="E39" i="1"/>
  <c r="AN39" i="1" s="1"/>
  <c r="E38" i="1"/>
  <c r="AN38" i="1" s="1"/>
  <c r="E29" i="1"/>
  <c r="AN29" i="1" s="1"/>
  <c r="E24" i="1"/>
  <c r="AN24" i="1" s="1"/>
  <c r="E21" i="1"/>
  <c r="AN21" i="1" s="1"/>
  <c r="E10" i="1"/>
  <c r="AN10" i="1" l="1"/>
  <c r="H254" i="2"/>
  <c r="H258" i="2"/>
  <c r="H86" i="3"/>
  <c r="H258" i="3"/>
  <c r="H120" i="3"/>
  <c r="H115" i="3"/>
  <c r="H261" i="3" l="1"/>
  <c r="H267" i="3"/>
  <c r="I1" i="2" l="1"/>
  <c r="G120" i="2" l="1"/>
  <c r="G115" i="2"/>
  <c r="G34" i="2"/>
  <c r="G36" i="2"/>
  <c r="G254" i="2"/>
  <c r="H265" i="3"/>
  <c r="H266" i="3"/>
  <c r="H263" i="3"/>
  <c r="H137" i="3"/>
  <c r="H102" i="3"/>
  <c r="H101" i="3"/>
  <c r="H264" i="3"/>
  <c r="H228" i="3"/>
  <c r="H257" i="3"/>
  <c r="H251" i="3"/>
  <c r="G266" i="3"/>
  <c r="G264" i="3"/>
  <c r="G158" i="3"/>
  <c r="G257" i="3"/>
  <c r="G251" i="3"/>
  <c r="G254" i="3"/>
  <c r="G120" i="3"/>
  <c r="G115" i="3"/>
  <c r="G102" i="3"/>
  <c r="G101" i="3"/>
  <c r="G263" i="3"/>
  <c r="G265" i="3"/>
  <c r="F91" i="3" l="1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90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5" i="3"/>
  <c r="F267" i="2"/>
  <c r="AM272" i="1" s="1"/>
  <c r="F268" i="2"/>
  <c r="AM273" i="1" s="1"/>
  <c r="F269" i="2"/>
  <c r="AM274" i="1" s="1"/>
  <c r="AP274" i="1" s="1"/>
  <c r="F91" i="2"/>
  <c r="AM96" i="1" s="1"/>
  <c r="F92" i="2"/>
  <c r="AM97" i="1" s="1"/>
  <c r="F93" i="2"/>
  <c r="AM98" i="1" s="1"/>
  <c r="F94" i="2"/>
  <c r="AM99" i="1" s="1"/>
  <c r="F95" i="2"/>
  <c r="AM100" i="1" s="1"/>
  <c r="F96" i="2"/>
  <c r="AM101" i="1" s="1"/>
  <c r="F97" i="2"/>
  <c r="AM102" i="1" s="1"/>
  <c r="F98" i="2"/>
  <c r="AM103" i="1" s="1"/>
  <c r="F99" i="2"/>
  <c r="AM104" i="1" s="1"/>
  <c r="F100" i="2"/>
  <c r="AM105" i="1" s="1"/>
  <c r="F101" i="2"/>
  <c r="AM106" i="1" s="1"/>
  <c r="F102" i="2"/>
  <c r="AM107" i="1" s="1"/>
  <c r="F103" i="2"/>
  <c r="AM108" i="1" s="1"/>
  <c r="F104" i="2"/>
  <c r="AM109" i="1" s="1"/>
  <c r="F105" i="2"/>
  <c r="AM110" i="1" s="1"/>
  <c r="F106" i="2"/>
  <c r="AM111" i="1" s="1"/>
  <c r="F107" i="2"/>
  <c r="AM112" i="1" s="1"/>
  <c r="F108" i="2"/>
  <c r="AM113" i="1" s="1"/>
  <c r="F109" i="2"/>
  <c r="AM114" i="1" s="1"/>
  <c r="F110" i="2"/>
  <c r="AM115" i="1" s="1"/>
  <c r="F111" i="2"/>
  <c r="AM116" i="1" s="1"/>
  <c r="F112" i="2"/>
  <c r="AM117" i="1" s="1"/>
  <c r="F113" i="2"/>
  <c r="AM118" i="1" s="1"/>
  <c r="F114" i="2"/>
  <c r="AM119" i="1" s="1"/>
  <c r="F115" i="2"/>
  <c r="AM120" i="1" s="1"/>
  <c r="F116" i="2"/>
  <c r="AM121" i="1" s="1"/>
  <c r="F117" i="2"/>
  <c r="AM122" i="1" s="1"/>
  <c r="F118" i="2"/>
  <c r="AM123" i="1" s="1"/>
  <c r="F119" i="2"/>
  <c r="AM124" i="1" s="1"/>
  <c r="F120" i="2"/>
  <c r="AM125" i="1" s="1"/>
  <c r="F121" i="2"/>
  <c r="AM126" i="1" s="1"/>
  <c r="F122" i="2"/>
  <c r="AM127" i="1" s="1"/>
  <c r="F123" i="2"/>
  <c r="AM128" i="1" s="1"/>
  <c r="F124" i="2"/>
  <c r="AM129" i="1" s="1"/>
  <c r="F125" i="2"/>
  <c r="AM130" i="1" s="1"/>
  <c r="F126" i="2"/>
  <c r="AM131" i="1" s="1"/>
  <c r="F127" i="2"/>
  <c r="AM132" i="1" s="1"/>
  <c r="F128" i="2"/>
  <c r="AM133" i="1" s="1"/>
  <c r="F129" i="2"/>
  <c r="AM134" i="1" s="1"/>
  <c r="F130" i="2"/>
  <c r="AM135" i="1" s="1"/>
  <c r="F131" i="2"/>
  <c r="AM136" i="1" s="1"/>
  <c r="F132" i="2"/>
  <c r="AM137" i="1" s="1"/>
  <c r="F133" i="2"/>
  <c r="AM138" i="1" s="1"/>
  <c r="F134" i="2"/>
  <c r="AM139" i="1" s="1"/>
  <c r="F135" i="2"/>
  <c r="AM140" i="1" s="1"/>
  <c r="F136" i="2"/>
  <c r="AM141" i="1" s="1"/>
  <c r="F137" i="2"/>
  <c r="AM142" i="1" s="1"/>
  <c r="F138" i="2"/>
  <c r="AM143" i="1" s="1"/>
  <c r="F139" i="2"/>
  <c r="AM144" i="1" s="1"/>
  <c r="F140" i="2"/>
  <c r="AM145" i="1" s="1"/>
  <c r="F141" i="2"/>
  <c r="AM146" i="1" s="1"/>
  <c r="F142" i="2"/>
  <c r="AM147" i="1" s="1"/>
  <c r="F143" i="2"/>
  <c r="AM148" i="1" s="1"/>
  <c r="F144" i="2"/>
  <c r="AM149" i="1" s="1"/>
  <c r="F145" i="2"/>
  <c r="AM150" i="1" s="1"/>
  <c r="F146" i="2"/>
  <c r="AM151" i="1" s="1"/>
  <c r="F147" i="2"/>
  <c r="AM152" i="1" s="1"/>
  <c r="F148" i="2"/>
  <c r="AM153" i="1" s="1"/>
  <c r="F149" i="2"/>
  <c r="AM154" i="1" s="1"/>
  <c r="F150" i="2"/>
  <c r="AM155" i="1" s="1"/>
  <c r="F151" i="2"/>
  <c r="AM156" i="1" s="1"/>
  <c r="F152" i="2"/>
  <c r="AM157" i="1" s="1"/>
  <c r="F153" i="2"/>
  <c r="AM158" i="1" s="1"/>
  <c r="F154" i="2"/>
  <c r="AM159" i="1" s="1"/>
  <c r="F155" i="2"/>
  <c r="AM160" i="1" s="1"/>
  <c r="F156" i="2"/>
  <c r="AM161" i="1" s="1"/>
  <c r="F157" i="2"/>
  <c r="AM162" i="1" s="1"/>
  <c r="F158" i="2"/>
  <c r="AM163" i="1" s="1"/>
  <c r="F159" i="2"/>
  <c r="AM164" i="1" s="1"/>
  <c r="F160" i="2"/>
  <c r="AM165" i="1" s="1"/>
  <c r="F161" i="2"/>
  <c r="AM166" i="1" s="1"/>
  <c r="F162" i="2"/>
  <c r="AM167" i="1" s="1"/>
  <c r="F163" i="2"/>
  <c r="AM168" i="1" s="1"/>
  <c r="F164" i="2"/>
  <c r="AM169" i="1" s="1"/>
  <c r="F165" i="2"/>
  <c r="AM170" i="1" s="1"/>
  <c r="F166" i="2"/>
  <c r="AM171" i="1" s="1"/>
  <c r="F167" i="2"/>
  <c r="AM172" i="1" s="1"/>
  <c r="AP172" i="1" s="1"/>
  <c r="F168" i="2"/>
  <c r="AM173" i="1" s="1"/>
  <c r="F169" i="2"/>
  <c r="AM174" i="1" s="1"/>
  <c r="F170" i="2"/>
  <c r="AM175" i="1" s="1"/>
  <c r="F171" i="2"/>
  <c r="AM176" i="1" s="1"/>
  <c r="F172" i="2"/>
  <c r="AM177" i="1" s="1"/>
  <c r="F173" i="2"/>
  <c r="AM178" i="1" s="1"/>
  <c r="F174" i="2"/>
  <c r="AM179" i="1" s="1"/>
  <c r="F175" i="2"/>
  <c r="AM180" i="1" s="1"/>
  <c r="F176" i="2"/>
  <c r="AM181" i="1" s="1"/>
  <c r="F177" i="2"/>
  <c r="AM182" i="1" s="1"/>
  <c r="F178" i="2"/>
  <c r="AM183" i="1" s="1"/>
  <c r="F179" i="2"/>
  <c r="AM184" i="1" s="1"/>
  <c r="F180" i="2"/>
  <c r="AM185" i="1" s="1"/>
  <c r="F181" i="2"/>
  <c r="AM186" i="1" s="1"/>
  <c r="F182" i="2"/>
  <c r="AM187" i="1" s="1"/>
  <c r="F183" i="2"/>
  <c r="AM188" i="1" s="1"/>
  <c r="F184" i="2"/>
  <c r="AM189" i="1" s="1"/>
  <c r="F185" i="2"/>
  <c r="AM190" i="1" s="1"/>
  <c r="F186" i="2"/>
  <c r="AM191" i="1" s="1"/>
  <c r="F187" i="2"/>
  <c r="AM192" i="1" s="1"/>
  <c r="F188" i="2"/>
  <c r="AM193" i="1" s="1"/>
  <c r="F189" i="2"/>
  <c r="AM194" i="1" s="1"/>
  <c r="F190" i="2"/>
  <c r="AM195" i="1" s="1"/>
  <c r="F191" i="2"/>
  <c r="AM196" i="1" s="1"/>
  <c r="F192" i="2"/>
  <c r="AM197" i="1" s="1"/>
  <c r="F193" i="2"/>
  <c r="AM198" i="1" s="1"/>
  <c r="F194" i="2"/>
  <c r="AM199" i="1" s="1"/>
  <c r="F195" i="2"/>
  <c r="AM200" i="1" s="1"/>
  <c r="F196" i="2"/>
  <c r="AM201" i="1" s="1"/>
  <c r="F197" i="2"/>
  <c r="AM202" i="1" s="1"/>
  <c r="F198" i="2"/>
  <c r="AM203" i="1" s="1"/>
  <c r="F199" i="2"/>
  <c r="AM204" i="1" s="1"/>
  <c r="F200" i="2"/>
  <c r="AM205" i="1" s="1"/>
  <c r="F201" i="2"/>
  <c r="AM206" i="1" s="1"/>
  <c r="F202" i="2"/>
  <c r="AM207" i="1" s="1"/>
  <c r="F203" i="2"/>
  <c r="AM208" i="1" s="1"/>
  <c r="F204" i="2"/>
  <c r="AM209" i="1" s="1"/>
  <c r="F205" i="2"/>
  <c r="AM210" i="1" s="1"/>
  <c r="F206" i="2"/>
  <c r="AM211" i="1" s="1"/>
  <c r="F207" i="2"/>
  <c r="AM212" i="1" s="1"/>
  <c r="F208" i="2"/>
  <c r="AM213" i="1" s="1"/>
  <c r="F209" i="2"/>
  <c r="AM214" i="1" s="1"/>
  <c r="F210" i="2"/>
  <c r="AM215" i="1" s="1"/>
  <c r="F211" i="2"/>
  <c r="AM216" i="1" s="1"/>
  <c r="F212" i="2"/>
  <c r="AM217" i="1" s="1"/>
  <c r="F213" i="2"/>
  <c r="AM218" i="1" s="1"/>
  <c r="F214" i="2"/>
  <c r="AM219" i="1" s="1"/>
  <c r="F215" i="2"/>
  <c r="AM220" i="1" s="1"/>
  <c r="F216" i="2"/>
  <c r="AM221" i="1" s="1"/>
  <c r="F217" i="2"/>
  <c r="AM222" i="1" s="1"/>
  <c r="F218" i="2"/>
  <c r="AM223" i="1" s="1"/>
  <c r="F219" i="2"/>
  <c r="AM224" i="1" s="1"/>
  <c r="F220" i="2"/>
  <c r="AM225" i="1" s="1"/>
  <c r="F221" i="2"/>
  <c r="AM226" i="1" s="1"/>
  <c r="F222" i="2"/>
  <c r="AM227" i="1" s="1"/>
  <c r="F223" i="2"/>
  <c r="AM228" i="1" s="1"/>
  <c r="F224" i="2"/>
  <c r="AM229" i="1" s="1"/>
  <c r="F225" i="2"/>
  <c r="AM230" i="1" s="1"/>
  <c r="F226" i="2"/>
  <c r="AM231" i="1" s="1"/>
  <c r="F227" i="2"/>
  <c r="AM232" i="1" s="1"/>
  <c r="F228" i="2"/>
  <c r="AM233" i="1" s="1"/>
  <c r="F229" i="2"/>
  <c r="AM234" i="1" s="1"/>
  <c r="F230" i="2"/>
  <c r="AM235" i="1" s="1"/>
  <c r="F231" i="2"/>
  <c r="AM236" i="1" s="1"/>
  <c r="F232" i="2"/>
  <c r="AM237" i="1" s="1"/>
  <c r="F233" i="2"/>
  <c r="AM238" i="1" s="1"/>
  <c r="F234" i="2"/>
  <c r="AM239" i="1" s="1"/>
  <c r="F235" i="2"/>
  <c r="AM240" i="1" s="1"/>
  <c r="F236" i="2"/>
  <c r="AM241" i="1" s="1"/>
  <c r="F237" i="2"/>
  <c r="AM242" i="1" s="1"/>
  <c r="F238" i="2"/>
  <c r="AM243" i="1" s="1"/>
  <c r="F239" i="2"/>
  <c r="AM244" i="1" s="1"/>
  <c r="F240" i="2"/>
  <c r="AM245" i="1" s="1"/>
  <c r="F241" i="2"/>
  <c r="AM246" i="1" s="1"/>
  <c r="F242" i="2"/>
  <c r="AM247" i="1" s="1"/>
  <c r="F243" i="2"/>
  <c r="AM248" i="1" s="1"/>
  <c r="F244" i="2"/>
  <c r="AM249" i="1" s="1"/>
  <c r="F245" i="2"/>
  <c r="AM250" i="1" s="1"/>
  <c r="F246" i="2"/>
  <c r="AM251" i="1" s="1"/>
  <c r="F247" i="2"/>
  <c r="AM252" i="1" s="1"/>
  <c r="F248" i="2"/>
  <c r="AM253" i="1" s="1"/>
  <c r="F249" i="2"/>
  <c r="AM254" i="1" s="1"/>
  <c r="F250" i="2"/>
  <c r="AM255" i="1" s="1"/>
  <c r="F251" i="2"/>
  <c r="AM256" i="1" s="1"/>
  <c r="F252" i="2"/>
  <c r="AM257" i="1" s="1"/>
  <c r="F253" i="2"/>
  <c r="AM258" i="1" s="1"/>
  <c r="F254" i="2"/>
  <c r="AM259" i="1" s="1"/>
  <c r="F255" i="2"/>
  <c r="AM260" i="1" s="1"/>
  <c r="F256" i="2"/>
  <c r="AM261" i="1" s="1"/>
  <c r="F257" i="2"/>
  <c r="AM262" i="1" s="1"/>
  <c r="F258" i="2"/>
  <c r="AM263" i="1" s="1"/>
  <c r="F259" i="2"/>
  <c r="AM264" i="1" s="1"/>
  <c r="F260" i="2"/>
  <c r="AM265" i="1" s="1"/>
  <c r="F261" i="2"/>
  <c r="AM266" i="1" s="1"/>
  <c r="F262" i="2"/>
  <c r="AM267" i="1" s="1"/>
  <c r="F263" i="2"/>
  <c r="AM268" i="1" s="1"/>
  <c r="F264" i="2"/>
  <c r="AM269" i="1" s="1"/>
  <c r="F265" i="2"/>
  <c r="AM270" i="1" s="1"/>
  <c r="F266" i="2"/>
  <c r="AM271" i="1" s="1"/>
  <c r="F90" i="2"/>
  <c r="AM95" i="1" s="1"/>
  <c r="F6" i="2"/>
  <c r="AM11" i="1" s="1"/>
  <c r="AP11" i="1" s="1"/>
  <c r="F7" i="2"/>
  <c r="AM12" i="1" s="1"/>
  <c r="F8" i="2"/>
  <c r="AM13" i="1" s="1"/>
  <c r="F9" i="2"/>
  <c r="AM14" i="1" s="1"/>
  <c r="F10" i="2"/>
  <c r="AM15" i="1" s="1"/>
  <c r="F11" i="2"/>
  <c r="AM16" i="1" s="1"/>
  <c r="F12" i="2"/>
  <c r="AM17" i="1" s="1"/>
  <c r="F13" i="2"/>
  <c r="AM18" i="1" s="1"/>
  <c r="F14" i="2"/>
  <c r="AM19" i="1" s="1"/>
  <c r="F15" i="2"/>
  <c r="AM20" i="1" s="1"/>
  <c r="F16" i="2"/>
  <c r="AM21" i="1" s="1"/>
  <c r="F17" i="2"/>
  <c r="AM22" i="1" s="1"/>
  <c r="F18" i="2"/>
  <c r="AM23" i="1" s="1"/>
  <c r="F19" i="2"/>
  <c r="AM24" i="1" s="1"/>
  <c r="AP24" i="1" s="1"/>
  <c r="F20" i="2"/>
  <c r="AM25" i="1" s="1"/>
  <c r="F21" i="2"/>
  <c r="AM26" i="1" s="1"/>
  <c r="F22" i="2"/>
  <c r="AM27" i="1" s="1"/>
  <c r="AP27" i="1" s="1"/>
  <c r="F23" i="2"/>
  <c r="AM28" i="1" s="1"/>
  <c r="F24" i="2"/>
  <c r="AM29" i="1" s="1"/>
  <c r="F25" i="2"/>
  <c r="AM30" i="1" s="1"/>
  <c r="F26" i="2"/>
  <c r="AM31" i="1" s="1"/>
  <c r="F27" i="2"/>
  <c r="AM32" i="1" s="1"/>
  <c r="F28" i="2"/>
  <c r="AM33" i="1" s="1"/>
  <c r="F29" i="2"/>
  <c r="AM34" i="1" s="1"/>
  <c r="F30" i="2"/>
  <c r="AM35" i="1" s="1"/>
  <c r="F31" i="2"/>
  <c r="AM36" i="1" s="1"/>
  <c r="F32" i="2"/>
  <c r="AM37" i="1" s="1"/>
  <c r="F33" i="2"/>
  <c r="AM38" i="1" s="1"/>
  <c r="F34" i="2"/>
  <c r="AM39" i="1" s="1"/>
  <c r="F35" i="2"/>
  <c r="AM40" i="1" s="1"/>
  <c r="F36" i="2"/>
  <c r="AM41" i="1" s="1"/>
  <c r="F37" i="2"/>
  <c r="AM42" i="1" s="1"/>
  <c r="F38" i="2"/>
  <c r="AM43" i="1" s="1"/>
  <c r="F39" i="2"/>
  <c r="AM44" i="1" s="1"/>
  <c r="F40" i="2"/>
  <c r="AM45" i="1" s="1"/>
  <c r="F41" i="2"/>
  <c r="AM46" i="1" s="1"/>
  <c r="F42" i="2"/>
  <c r="AM47" i="1" s="1"/>
  <c r="F43" i="2"/>
  <c r="AM48" i="1" s="1"/>
  <c r="F44" i="2"/>
  <c r="AM49" i="1" s="1"/>
  <c r="F45" i="2"/>
  <c r="AM50" i="1" s="1"/>
  <c r="F46" i="2"/>
  <c r="AM51" i="1" s="1"/>
  <c r="F47" i="2"/>
  <c r="AM52" i="1" s="1"/>
  <c r="F48" i="2"/>
  <c r="AM53" i="1" s="1"/>
  <c r="F49" i="2"/>
  <c r="AM54" i="1" s="1"/>
  <c r="F50" i="2"/>
  <c r="AM55" i="1" s="1"/>
  <c r="F51" i="2"/>
  <c r="AM56" i="1" s="1"/>
  <c r="F52" i="2"/>
  <c r="AM57" i="1" s="1"/>
  <c r="F53" i="2"/>
  <c r="AM58" i="1" s="1"/>
  <c r="F54" i="2"/>
  <c r="AM59" i="1" s="1"/>
  <c r="F55" i="2"/>
  <c r="AM60" i="1" s="1"/>
  <c r="F56" i="2"/>
  <c r="AM61" i="1" s="1"/>
  <c r="F57" i="2"/>
  <c r="AM62" i="1" s="1"/>
  <c r="F58" i="2"/>
  <c r="AM63" i="1" s="1"/>
  <c r="F59" i="2"/>
  <c r="AM64" i="1" s="1"/>
  <c r="F60" i="2"/>
  <c r="AM65" i="1" s="1"/>
  <c r="F61" i="2"/>
  <c r="AM66" i="1" s="1"/>
  <c r="F62" i="2"/>
  <c r="AM67" i="1" s="1"/>
  <c r="F63" i="2"/>
  <c r="AM68" i="1" s="1"/>
  <c r="F64" i="2"/>
  <c r="AM69" i="1" s="1"/>
  <c r="F65" i="2"/>
  <c r="AM70" i="1" s="1"/>
  <c r="F66" i="2"/>
  <c r="AM71" i="1" s="1"/>
  <c r="F67" i="2"/>
  <c r="AM72" i="1" s="1"/>
  <c r="F68" i="2"/>
  <c r="AM73" i="1" s="1"/>
  <c r="F69" i="2"/>
  <c r="AM74" i="1" s="1"/>
  <c r="F70" i="2"/>
  <c r="AM75" i="1" s="1"/>
  <c r="F71" i="2"/>
  <c r="AM76" i="1" s="1"/>
  <c r="F72" i="2"/>
  <c r="AM77" i="1" s="1"/>
  <c r="F73" i="2"/>
  <c r="AM78" i="1" s="1"/>
  <c r="F74" i="2"/>
  <c r="AM79" i="1" s="1"/>
  <c r="F75" i="2"/>
  <c r="AM80" i="1" s="1"/>
  <c r="F76" i="2"/>
  <c r="AM81" i="1" s="1"/>
  <c r="F77" i="2"/>
  <c r="AM82" i="1" s="1"/>
  <c r="F78" i="2"/>
  <c r="AM83" i="1" s="1"/>
  <c r="F79" i="2"/>
  <c r="AM84" i="1" s="1"/>
  <c r="F80" i="2"/>
  <c r="AM85" i="1" s="1"/>
  <c r="F81" i="2"/>
  <c r="AM86" i="1" s="1"/>
  <c r="F82" i="2"/>
  <c r="AM87" i="1" s="1"/>
  <c r="F83" i="2"/>
  <c r="AM88" i="1" s="1"/>
  <c r="F84" i="2"/>
  <c r="AM89" i="1" s="1"/>
  <c r="F85" i="2"/>
  <c r="AM90" i="1" s="1"/>
  <c r="F86" i="2"/>
  <c r="AM91" i="1" s="1"/>
  <c r="F87" i="2"/>
  <c r="AM92" i="1" s="1"/>
  <c r="F88" i="2"/>
  <c r="AM93" i="1" s="1"/>
  <c r="F5" i="2"/>
  <c r="AM10" i="1" s="1"/>
  <c r="AP10" i="1" s="1"/>
  <c r="AP93" i="1" l="1"/>
  <c r="AP91" i="1"/>
  <c r="AP89" i="1"/>
  <c r="AP87" i="1"/>
  <c r="AP85" i="1"/>
  <c r="AP83" i="1"/>
  <c r="AP81" i="1"/>
  <c r="AP79" i="1"/>
  <c r="AP77" i="1"/>
  <c r="AP75" i="1"/>
  <c r="AP73" i="1"/>
  <c r="AP71" i="1"/>
  <c r="AP69" i="1"/>
  <c r="AP67" i="1"/>
  <c r="AP65" i="1"/>
  <c r="AP63" i="1"/>
  <c r="AP61" i="1"/>
  <c r="AP59" i="1"/>
  <c r="AP57" i="1"/>
  <c r="AP55" i="1"/>
  <c r="AP53" i="1"/>
  <c r="AP51" i="1"/>
  <c r="AP49" i="1"/>
  <c r="AP47" i="1"/>
  <c r="AP43" i="1"/>
  <c r="AP41" i="1"/>
  <c r="AP39" i="1"/>
  <c r="AP37" i="1"/>
  <c r="AP35" i="1"/>
  <c r="AP33" i="1"/>
  <c r="AP31" i="1"/>
  <c r="AP29" i="1"/>
  <c r="AP25" i="1"/>
  <c r="AP23" i="1"/>
  <c r="AP21" i="1"/>
  <c r="AP19" i="1"/>
  <c r="AP17" i="1"/>
  <c r="AP15" i="1"/>
  <c r="AP13" i="1"/>
  <c r="AP272" i="1"/>
  <c r="AP270" i="1"/>
  <c r="AP268" i="1"/>
  <c r="AP266" i="1"/>
  <c r="AP264" i="1"/>
  <c r="AP262" i="1"/>
  <c r="AP260" i="1"/>
  <c r="AP258" i="1"/>
  <c r="AP256" i="1"/>
  <c r="AP254" i="1"/>
  <c r="AP252" i="1"/>
  <c r="AP250" i="1"/>
  <c r="AP248" i="1"/>
  <c r="AP246" i="1"/>
  <c r="AP244" i="1"/>
  <c r="AP242" i="1"/>
  <c r="AP240" i="1"/>
  <c r="AP238" i="1"/>
  <c r="AP236" i="1"/>
  <c r="AP234" i="1"/>
  <c r="AP232" i="1"/>
  <c r="AP230" i="1"/>
  <c r="AP228" i="1"/>
  <c r="AP226" i="1"/>
  <c r="AP224" i="1"/>
  <c r="AP92" i="1"/>
  <c r="AP90" i="1"/>
  <c r="AP88" i="1"/>
  <c r="AP222" i="1"/>
  <c r="AP220" i="1"/>
  <c r="AP218" i="1"/>
  <c r="AP216" i="1"/>
  <c r="AP214" i="1"/>
  <c r="AP212" i="1"/>
  <c r="AP210" i="1"/>
  <c r="AP208" i="1"/>
  <c r="AP206" i="1"/>
  <c r="AP204" i="1"/>
  <c r="AP202" i="1"/>
  <c r="AP200" i="1"/>
  <c r="AP198" i="1"/>
  <c r="AP196" i="1"/>
  <c r="AP194" i="1"/>
  <c r="AP192" i="1"/>
  <c r="AP190" i="1"/>
  <c r="AP188" i="1"/>
  <c r="AP186" i="1"/>
  <c r="AP184" i="1"/>
  <c r="AP182" i="1"/>
  <c r="AP180" i="1"/>
  <c r="AP178" i="1"/>
  <c r="AP176" i="1"/>
  <c r="AP174" i="1"/>
  <c r="AP170" i="1"/>
  <c r="AP168" i="1"/>
  <c r="AP166" i="1"/>
  <c r="AP164" i="1"/>
  <c r="AP162" i="1"/>
  <c r="AP160" i="1"/>
  <c r="AP158" i="1"/>
  <c r="AP156" i="1"/>
  <c r="AP154" i="1"/>
  <c r="AP152" i="1"/>
  <c r="AP150" i="1"/>
  <c r="AP148" i="1"/>
  <c r="AP146" i="1"/>
  <c r="AP144" i="1"/>
  <c r="AP142" i="1"/>
  <c r="AP140" i="1"/>
  <c r="AP138" i="1"/>
  <c r="AP136" i="1"/>
  <c r="AP134" i="1"/>
  <c r="AP132" i="1"/>
  <c r="AP130" i="1"/>
  <c r="AP128" i="1"/>
  <c r="AP126" i="1"/>
  <c r="AP124" i="1"/>
  <c r="AP122" i="1"/>
  <c r="AP120" i="1"/>
  <c r="AP118" i="1"/>
  <c r="AP116" i="1"/>
  <c r="AP114" i="1"/>
  <c r="AP112" i="1"/>
  <c r="AP110" i="1"/>
  <c r="AP108" i="1"/>
  <c r="AP106" i="1"/>
  <c r="AP104" i="1"/>
  <c r="AP102" i="1"/>
  <c r="AP100" i="1"/>
  <c r="AP98" i="1"/>
  <c r="AP96" i="1"/>
  <c r="AP86" i="1"/>
  <c r="AP84" i="1"/>
  <c r="AP82" i="1"/>
  <c r="AP80" i="1"/>
  <c r="AP78" i="1"/>
  <c r="AP76" i="1"/>
  <c r="AP74" i="1"/>
  <c r="AP72" i="1"/>
  <c r="AP70" i="1"/>
  <c r="AP68" i="1"/>
  <c r="AP66" i="1"/>
  <c r="AP64" i="1"/>
  <c r="AP62" i="1"/>
  <c r="AP60" i="1"/>
  <c r="AP58" i="1"/>
  <c r="AP56" i="1"/>
  <c r="AP54" i="1"/>
  <c r="AP52" i="1"/>
  <c r="AP50" i="1"/>
  <c r="AP48" i="1"/>
  <c r="AP46" i="1"/>
  <c r="AP44" i="1"/>
  <c r="AP42" i="1"/>
  <c r="AP40" i="1"/>
  <c r="AP38" i="1"/>
  <c r="AP36" i="1"/>
  <c r="AP34" i="1"/>
  <c r="AP32" i="1"/>
  <c r="AP30" i="1"/>
  <c r="AP28" i="1"/>
  <c r="AP26" i="1"/>
  <c r="AP22" i="1"/>
  <c r="AP20" i="1"/>
  <c r="AP18" i="1"/>
  <c r="AP16" i="1"/>
  <c r="AP14" i="1"/>
  <c r="AP12" i="1"/>
  <c r="AP95" i="1"/>
  <c r="AP273" i="1"/>
  <c r="AP271" i="1"/>
  <c r="AP269" i="1"/>
  <c r="AP267" i="1"/>
  <c r="AP265" i="1"/>
  <c r="AP263" i="1"/>
  <c r="AP261" i="1"/>
  <c r="AP259" i="1"/>
  <c r="AP257" i="1"/>
  <c r="AP255" i="1"/>
  <c r="AP253" i="1"/>
  <c r="AP251" i="1"/>
  <c r="AP249" i="1"/>
  <c r="AP247" i="1"/>
  <c r="AP245" i="1"/>
  <c r="AP243" i="1"/>
  <c r="AP241" i="1"/>
  <c r="AP239" i="1"/>
  <c r="AP237" i="1"/>
  <c r="AP235" i="1"/>
  <c r="AP233" i="1"/>
  <c r="AP231" i="1"/>
  <c r="AP229" i="1"/>
  <c r="AP227" i="1"/>
  <c r="AP225" i="1"/>
  <c r="AP223" i="1"/>
  <c r="AP221" i="1"/>
  <c r="AP219" i="1"/>
  <c r="AP217" i="1"/>
  <c r="AP215" i="1"/>
  <c r="AP213" i="1"/>
  <c r="AP211" i="1"/>
  <c r="AP209" i="1"/>
  <c r="AP207" i="1"/>
  <c r="AP205" i="1"/>
  <c r="AP203" i="1"/>
  <c r="AP201" i="1"/>
  <c r="AP199" i="1"/>
  <c r="AP197" i="1"/>
  <c r="AP195" i="1"/>
  <c r="AP193" i="1"/>
  <c r="AP191" i="1"/>
  <c r="AP189" i="1"/>
  <c r="AP187" i="1"/>
  <c r="AP185" i="1"/>
  <c r="AP183" i="1"/>
  <c r="AP181" i="1"/>
  <c r="AP179" i="1"/>
  <c r="AP177" i="1"/>
  <c r="AP175" i="1"/>
  <c r="AP173" i="1"/>
  <c r="AP171" i="1"/>
  <c r="AP169" i="1"/>
  <c r="AP167" i="1"/>
  <c r="AP165" i="1"/>
  <c r="AP163" i="1"/>
  <c r="AP161" i="1"/>
  <c r="AP159" i="1"/>
  <c r="AP157" i="1"/>
  <c r="AP155" i="1"/>
  <c r="AP153" i="1"/>
  <c r="AP151" i="1"/>
  <c r="AP149" i="1"/>
  <c r="AP147" i="1"/>
  <c r="AP145" i="1"/>
  <c r="AP143" i="1"/>
  <c r="AP141" i="1"/>
  <c r="AP139" i="1"/>
  <c r="AP137" i="1"/>
  <c r="AP135" i="1"/>
  <c r="AP133" i="1"/>
  <c r="AP131" i="1"/>
  <c r="AP129" i="1"/>
  <c r="AP127" i="1"/>
  <c r="AP125" i="1"/>
  <c r="AP123" i="1"/>
  <c r="AP121" i="1"/>
  <c r="AP119" i="1"/>
  <c r="AP117" i="1"/>
  <c r="AP115" i="1"/>
  <c r="AP113" i="1"/>
  <c r="AP111" i="1"/>
  <c r="AP109" i="1"/>
  <c r="AP107" i="1"/>
  <c r="AP105" i="1"/>
  <c r="AP103" i="1"/>
  <c r="AP101" i="1"/>
  <c r="AP99" i="1"/>
  <c r="AP9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E5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trộn bột màu đúc slider đen EX14 + plug lần 1
</t>
        </r>
      </text>
    </comment>
    <comment ref="I5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trộn đúc slider đen+plug lần 1
</t>
        </r>
      </text>
    </comment>
    <comment ref="L5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Trộn bột màu đúc slider đen + plug lần 1
</t>
        </r>
      </text>
    </comment>
    <comment ref="N5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Trộn bột màu đúc slider đen + plug lần 1</t>
        </r>
      </text>
    </comment>
    <comment ref="E61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만든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- Button = 0.0004812 kg
- Case Front = 0.00070525 kg
- Case Rear = 0.00068625 kg</t>
        </r>
      </text>
    </comment>
    <comment ref="E6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- Button: 0.00000000385 kg
- Case Front: 0.000000005642 kg
- Case Rear: 0.00000000549 kg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G2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in t7</t>
        </r>
      </text>
    </comment>
    <comment ref="H22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in t7
</t>
        </r>
      </text>
    </comment>
    <comment ref="G22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in t7
</t>
        </r>
      </text>
    </comment>
  </commentList>
</comments>
</file>

<file path=xl/sharedStrings.xml><?xml version="1.0" encoding="utf-8"?>
<sst xmlns="http://schemas.openxmlformats.org/spreadsheetml/2006/main" count="3990" uniqueCount="641">
  <si>
    <t>CÔNG TY TNHH FOS VINA</t>
  </si>
  <si>
    <t>Địa chỉ: Đỗ Sơn - Thanh Ba - Phú Thọ</t>
  </si>
  <si>
    <t>STT</t>
  </si>
  <si>
    <t>MODEL</t>
  </si>
  <si>
    <t>TÊN NGUYÊN LIỆU</t>
  </si>
  <si>
    <t>EX14
LIZ/UC</t>
  </si>
  <si>
    <t>EX14
VZ/UC</t>
  </si>
  <si>
    <t>EX14
BZ/EE</t>
  </si>
  <si>
    <t>EX14
WZ/EE</t>
  </si>
  <si>
    <t>EX14
LIZ/EE</t>
  </si>
  <si>
    <t>EX14
BZ/IN</t>
  </si>
  <si>
    <t>EX14
LIZ/IN</t>
  </si>
  <si>
    <t>EX15
BZ1/AE</t>
  </si>
  <si>
    <t>EX15
WZ1/AE</t>
  </si>
  <si>
    <t>EX15
PZ1/AE</t>
  </si>
  <si>
    <t>EX15
LZ1/AE</t>
  </si>
  <si>
    <t>EX15
VZ1/AE</t>
  </si>
  <si>
    <t>E9
BZ1/E</t>
  </si>
  <si>
    <t>E9
WIZ1/E</t>
  </si>
  <si>
    <t>E9
HZ1/E</t>
  </si>
  <si>
    <t>E9
PZ1/E</t>
  </si>
  <si>
    <t>E9
LZ1/E</t>
  </si>
  <si>
    <t>E9
BZ1/U</t>
  </si>
  <si>
    <t>E9
WIZ1/U</t>
  </si>
  <si>
    <t>E9
HZ1/U</t>
  </si>
  <si>
    <t>E9
PZ1/U</t>
  </si>
  <si>
    <t>E9
LZ1/U</t>
  </si>
  <si>
    <t>E9
BZ1/CA</t>
  </si>
  <si>
    <t>E9
HZ1/CA</t>
  </si>
  <si>
    <t>E9
PZ1/CA</t>
  </si>
  <si>
    <t>E9
LZ1/CA</t>
  </si>
  <si>
    <t>E9
BZ1/AE</t>
  </si>
  <si>
    <t>E9
HZ1/AE</t>
  </si>
  <si>
    <t>E9
PZ1/AE</t>
  </si>
  <si>
    <t>E9
LZ1/AE</t>
  </si>
  <si>
    <t>ĐVT</t>
  </si>
  <si>
    <t>CÔNG ĐOẠN LÀM CORD</t>
  </si>
  <si>
    <t>CORD EX14</t>
  </si>
  <si>
    <t>EX14-CORD-11</t>
  </si>
  <si>
    <t>CORD WIRE主线/BLACK</t>
  </si>
  <si>
    <t>EX14-CORD-21</t>
  </si>
  <si>
    <t>CORD WIRE主线/WHITE</t>
  </si>
  <si>
    <t>EX14-CORD-41</t>
  </si>
  <si>
    <t>CORD WIRE主线/BLUE</t>
  </si>
  <si>
    <t>EX14-CORD-51</t>
  </si>
  <si>
    <t>CORD WIRE主线/VIOLET</t>
  </si>
  <si>
    <t>CORD EX15</t>
  </si>
  <si>
    <t>EX15-CORD-11</t>
  </si>
  <si>
    <t>EX15-CORD-21</t>
  </si>
  <si>
    <t>EX15-CORD-31</t>
  </si>
  <si>
    <t>CORD WIRE主线/PINK</t>
  </si>
  <si>
    <t>EX15-CORD-41</t>
  </si>
  <si>
    <t>EX15-CORD-51</t>
  </si>
  <si>
    <t>CORD E9</t>
  </si>
  <si>
    <t>E9XC-CORD-13</t>
  </si>
  <si>
    <t>E9XC-CORD-23</t>
  </si>
  <si>
    <t>PLUG</t>
  </si>
  <si>
    <t>EX14-PINF-02</t>
  </si>
  <si>
    <t>PIN (PLUG-CHÂN CẮM)</t>
  </si>
  <si>
    <t>EX15-PINF-01</t>
  </si>
  <si>
    <t>E9XC-PINT-01</t>
  </si>
  <si>
    <t>CAP - PLUG L2 EX14, EX15, E9</t>
  </si>
  <si>
    <t>EX14-CAPT-11</t>
  </si>
  <si>
    <t>CAP - BZ</t>
  </si>
  <si>
    <t>EX14-CAPT-21</t>
  </si>
  <si>
    <t>CAP - WZ</t>
  </si>
  <si>
    <t>EX14-CAPT-31</t>
  </si>
  <si>
    <t>CAP - PZ</t>
  </si>
  <si>
    <t>EX14-CAPT-41</t>
  </si>
  <si>
    <t>CAP - LIZ</t>
  </si>
  <si>
    <t>EX14-CAPT-51</t>
  </si>
  <si>
    <t>CAP - VZ</t>
  </si>
  <si>
    <t xml:space="preserve">SLIDER EX14 </t>
  </si>
  <si>
    <t>EX14-SLID-11</t>
  </si>
  <si>
    <t>SLIDER / BZ</t>
  </si>
  <si>
    <t>EX14-SLID-21</t>
  </si>
  <si>
    <t>SLIDER / WZ</t>
  </si>
  <si>
    <t>EX14-SLID-41</t>
  </si>
  <si>
    <t>SLIDER / LIZ</t>
  </si>
  <si>
    <t>EX14-SLID-51</t>
  </si>
  <si>
    <t>SLIDER / VZ</t>
  </si>
  <si>
    <t>SLIDER EX15</t>
  </si>
  <si>
    <t>EX15-SLID-11</t>
  </si>
  <si>
    <t>SLIDER/BZ1</t>
  </si>
  <si>
    <t>EX15-SLID-21</t>
  </si>
  <si>
    <t>SLIDER/WZ1</t>
  </si>
  <si>
    <t>EX15-SLID-31</t>
  </si>
  <si>
    <t>SLIDER/PZ1</t>
  </si>
  <si>
    <t>EX15-SLID-41</t>
  </si>
  <si>
    <t>SLIDER/LIZ1</t>
  </si>
  <si>
    <t>EX15-SLID-51</t>
  </si>
  <si>
    <t>SLIDER/VZ1</t>
  </si>
  <si>
    <t>BẢN MẠCH</t>
  </si>
  <si>
    <t>EX14-PBAB-01</t>
  </si>
  <si>
    <t>PBA ASSY</t>
  </si>
  <si>
    <t>BUTTON - NÚT NHẤN</t>
  </si>
  <si>
    <t>4-454-539-01</t>
  </si>
  <si>
    <t>BUTTON / BZ</t>
  </si>
  <si>
    <t>4-454-539-11</t>
  </si>
  <si>
    <t>BUTTON / WZ</t>
  </si>
  <si>
    <t>4-454-539-31</t>
  </si>
  <si>
    <t>BUTTON / LIZ</t>
  </si>
  <si>
    <t>4-454-539-41</t>
  </si>
  <si>
    <t>BUTTON / VZ</t>
  </si>
  <si>
    <t>TOP
NẮP TRÊN</t>
  </si>
  <si>
    <t>4-454-537-01</t>
  </si>
  <si>
    <t>CASE FRONT / BZ</t>
  </si>
  <si>
    <t>4-454-537-11</t>
  </si>
  <si>
    <t>CASE FRONT / WZ</t>
  </si>
  <si>
    <t>4-454-537-31</t>
  </si>
  <si>
    <t>CASE FRONT / LIZ</t>
  </si>
  <si>
    <t>4-454-537-41</t>
  </si>
  <si>
    <t>CASE FRONT / VZ</t>
  </si>
  <si>
    <t>BOTTOM
NẮP DƯỚI</t>
  </si>
  <si>
    <t>4-454-538-01</t>
  </si>
  <si>
    <t>CASE REAR / BZ</t>
  </si>
  <si>
    <t>4-454-538-11</t>
  </si>
  <si>
    <t>CASE REAR / WZ</t>
  </si>
  <si>
    <t>4-454-538-31</t>
  </si>
  <si>
    <t>CASE REAR / LIZ</t>
  </si>
  <si>
    <t>4-454-538-41</t>
  </si>
  <si>
    <t>CASE REAR / VZ</t>
  </si>
  <si>
    <t>BINDER - DÂY BUỘC</t>
  </si>
  <si>
    <t>EX14-TIEB-01</t>
  </si>
  <si>
    <t xml:space="preserve">Tie(扎带) </t>
  </si>
  <si>
    <t>EX14-TIEW-01</t>
  </si>
  <si>
    <t>THIẾC</t>
  </si>
  <si>
    <t>SOLDER BAR(THIẾC NHÚNG)</t>
  </si>
  <si>
    <t>066605692</t>
    <phoneticPr fontId="1" type="noConversion"/>
  </si>
  <si>
    <t>SOLDER WIRE(THIẾC HÀN)</t>
  </si>
  <si>
    <t>SLIDER</t>
  </si>
  <si>
    <t>hạt nhựa nguyên sinh</t>
  </si>
  <si>
    <t>PP J-150</t>
  </si>
  <si>
    <t>màu trộn</t>
  </si>
  <si>
    <t>91560 B (BLACK)</t>
  </si>
  <si>
    <t>nhựa màu</t>
  </si>
  <si>
    <t>82015/抽粒/白色</t>
  </si>
  <si>
    <t>51457/抽粒/蓝色</t>
  </si>
  <si>
    <t>11494/抽粒/紫色</t>
  </si>
  <si>
    <t>BUTTON</t>
  </si>
  <si>
    <t xml:space="preserve">ABS 700-314 </t>
  </si>
  <si>
    <t>91621/色粉/黑色</t>
  </si>
  <si>
    <t>82221/色粉/白色</t>
  </si>
  <si>
    <t>51486/色粉/兰色</t>
  </si>
  <si>
    <r>
      <t>11526/</t>
    </r>
    <r>
      <rPr>
        <sz val="8"/>
        <color rgb="FFFF0000"/>
        <rFont val="Times New Roman"/>
        <family val="1"/>
      </rPr>
      <t>抽粒</t>
    </r>
    <r>
      <rPr>
        <sz val="8"/>
        <color theme="1"/>
        <rFont val="Times New Roman"/>
        <family val="1"/>
      </rPr>
      <t>/紫色</t>
    </r>
  </si>
  <si>
    <t>PLUG LẦN 2</t>
  </si>
  <si>
    <t>nhụa màu</t>
  </si>
  <si>
    <t>NP-M32585A(黑色)</t>
  </si>
  <si>
    <t>NP-M31085APS 90651(白色)</t>
  </si>
  <si>
    <t>NP-M31085ABS-2897</t>
  </si>
  <si>
    <t>NP-M31085APS 6101（蓝色）</t>
  </si>
  <si>
    <t>NP-M31085APS 2176（紫色）</t>
  </si>
  <si>
    <t>REAR HOUSING</t>
  </si>
  <si>
    <t>PC301-22</t>
  </si>
  <si>
    <t>ABS 920</t>
  </si>
  <si>
    <t>91246 (BLACK)</t>
  </si>
  <si>
    <t>91247 (BLACK)</t>
  </si>
  <si>
    <t>81786 (WHITE)</t>
  </si>
  <si>
    <t>51237 (BLUE)</t>
  </si>
  <si>
    <t>60313 (VIOLET)</t>
  </si>
  <si>
    <t>60314 (VIOLET)</t>
  </si>
  <si>
    <t>REAR HOUSING E9</t>
  </si>
  <si>
    <t xml:space="preserve">LG ABS 121H </t>
  </si>
  <si>
    <t>90789 (black)</t>
  </si>
  <si>
    <t>LG ABS 121H - 81551 (white)</t>
  </si>
  <si>
    <t>CAP HOUSING E9</t>
  </si>
  <si>
    <t>71990 (black)</t>
  </si>
  <si>
    <t>81301 (white)</t>
  </si>
  <si>
    <t>71989 (gray)</t>
  </si>
  <si>
    <t>10930 (pink)</t>
  </si>
  <si>
    <t>50956 (blue)</t>
  </si>
  <si>
    <t>MÀNG PET TRONG 0.3*560mm (hạt silicone)</t>
  </si>
  <si>
    <t>MÀNG PET TRONG 0.4*560mm</t>
  </si>
  <si>
    <t>MÀNG PET TRONG 0.3*560mm (tráng silicone)</t>
  </si>
  <si>
    <t>MÀNG PET TRONG 0.3*607mm</t>
  </si>
  <si>
    <t>MÀNG PET TRONG 0.3*555mm</t>
  </si>
  <si>
    <t>CÔNG ĐOẠN THÀNH PHẨM</t>
  </si>
  <si>
    <t>CABLE PLUG
EX14 AP</t>
  </si>
  <si>
    <t xml:space="preserve">084688811
</t>
  </si>
  <si>
    <t>CORD WITH PLUG主线/BLACK</t>
  </si>
  <si>
    <t>084688821</t>
  </si>
  <si>
    <t>CORD WITH PLUG主线/WHITE</t>
  </si>
  <si>
    <t>084688841</t>
  </si>
  <si>
    <t>CORD WITH PLUG主线/BLUE</t>
  </si>
  <si>
    <t>084688851</t>
  </si>
  <si>
    <t>CORD WITH PLUG主线/VIOLET</t>
  </si>
  <si>
    <t>CABLE PLUG
EX15 LP</t>
  </si>
  <si>
    <t>084699912</t>
  </si>
  <si>
    <t>084699922</t>
  </si>
  <si>
    <t>084699932</t>
  </si>
  <si>
    <t>CORD WITH PLUG主线/PINK</t>
  </si>
  <si>
    <t>084699942</t>
  </si>
  <si>
    <t>084699952</t>
  </si>
  <si>
    <t>CABLE PLUG
E9 LP</t>
  </si>
  <si>
    <t>183859813</t>
  </si>
  <si>
    <t>183859823</t>
  </si>
  <si>
    <t>MDD/EX14AP, EX15LP</t>
  </si>
  <si>
    <t>1-542-990-11</t>
  </si>
  <si>
    <t>MDD-L (A0MDD036A)-BLACK</t>
  </si>
  <si>
    <t>1-852-001-11</t>
  </si>
  <si>
    <t>MDD-R (A0MDD037A)- BLACK</t>
  </si>
  <si>
    <t>1-542-990-21</t>
  </si>
  <si>
    <t>MDD-L (A0MDD038A)-WHITE</t>
  </si>
  <si>
    <t>1-852-001-21</t>
  </si>
  <si>
    <t>MDD-R (A0MDD039A)- WHITE</t>
  </si>
  <si>
    <t>1-542-990-31</t>
  </si>
  <si>
    <t>MDD-L (A0MDD040A)-PINK</t>
  </si>
  <si>
    <t>1-852-001-31</t>
  </si>
  <si>
    <t>MDD-R (A0MDD041A)- PINK</t>
  </si>
  <si>
    <t>1-542-990-41</t>
  </si>
  <si>
    <t>MDD-L (A0MDD042A)-BLUE</t>
  </si>
  <si>
    <t>1-852-001-41</t>
  </si>
  <si>
    <t>MDD-R  (A0MDD043A)- BLUE</t>
  </si>
  <si>
    <t>1-542-990-51</t>
  </si>
  <si>
    <t>MDD-L (A0MDD044A)-VIOLET</t>
  </si>
  <si>
    <t>1-852-001-51</t>
  </si>
  <si>
    <t>MDD-R  (A0MDD045A)-VIOLET</t>
  </si>
  <si>
    <t>MDD/E9</t>
  </si>
  <si>
    <t>A0MDD013A</t>
  </si>
  <si>
    <r>
      <t xml:space="preserve">MDD 16 </t>
    </r>
    <r>
      <rPr>
        <sz val="8"/>
        <rFont val="Calibri"/>
        <family val="2"/>
      </rPr>
      <t>Ω (U,E, CA) - BLACK</t>
    </r>
  </si>
  <si>
    <t>A0MDD014A</t>
  </si>
  <si>
    <r>
      <t xml:space="preserve">MDD 16 </t>
    </r>
    <r>
      <rPr>
        <sz val="8"/>
        <rFont val="Calibri"/>
        <family val="2"/>
      </rPr>
      <t>Ω (U,E, CA) - WHITE</t>
    </r>
  </si>
  <si>
    <t>A0MDD026A</t>
  </si>
  <si>
    <r>
      <t xml:space="preserve">MDD 32 </t>
    </r>
    <r>
      <rPr>
        <sz val="8"/>
        <rFont val="Calibri"/>
        <family val="2"/>
      </rPr>
      <t>Ω (AE) - BLACK</t>
    </r>
  </si>
  <si>
    <t>A0MDD027A</t>
  </si>
  <si>
    <r>
      <t xml:space="preserve">MDD 32 </t>
    </r>
    <r>
      <rPr>
        <sz val="8"/>
        <rFont val="Calibri"/>
        <family val="2"/>
      </rPr>
      <t>Ω (AE) - WHITE</t>
    </r>
  </si>
  <si>
    <t>REAR HOUSING R
 EX14AP, EX15LP</t>
  </si>
  <si>
    <t>REAR  HOUSING-R / BZ</t>
  </si>
  <si>
    <t>REAR  HOUSING-R / WZ</t>
  </si>
  <si>
    <t>REAR  HOUSING-R / PZ</t>
  </si>
  <si>
    <t>REAR  HOUSING-R / LIZ</t>
  </si>
  <si>
    <t>REAR  HOUSING-R / VZ</t>
  </si>
  <si>
    <t>REAR HOUSING L
EX14AP, EX15LP</t>
  </si>
  <si>
    <t>REAR  HOUSING-L / BZ</t>
  </si>
  <si>
    <t>REAR  HOUSING-L / WZ</t>
  </si>
  <si>
    <t>REAR  HOUSING-L / PZ</t>
  </si>
  <si>
    <t>REAR  HOUSING-L / LIZ</t>
  </si>
  <si>
    <t>REAR  HOUSING-L / VZ</t>
  </si>
  <si>
    <t>CAP, REAR HOUSING R
E9</t>
  </si>
  <si>
    <t>CAP, REAR HOUSING R/BZ1</t>
  </si>
  <si>
    <t>CAP, REAR HOUSING R/WIZ1</t>
  </si>
  <si>
    <t>CAP, REAR HOUSING R/HZ1</t>
  </si>
  <si>
    <t>CAP, REAR HOUSING R/PZ1</t>
  </si>
  <si>
    <t>CAP, REAR HOUSING R/LZ1</t>
  </si>
  <si>
    <t>CAP, REAR HOUSING L
E9</t>
  </si>
  <si>
    <t>CAP, REAR HOUSING L/BZ1</t>
  </si>
  <si>
    <t>CAP, REAR HOUSING L/WIZ1</t>
  </si>
  <si>
    <t>CAP, REAR HOUSING L/HZ1</t>
  </si>
  <si>
    <t>CAP, REAR HOUSING L/PZ1</t>
  </si>
  <si>
    <t>CAP, REAR HOUSING L/LZ1</t>
  </si>
  <si>
    <t>HDSD, BẢO HÀNH EX14</t>
  </si>
  <si>
    <t>MANUAL,INSTRUCTION/UC</t>
  </si>
  <si>
    <t>459668941 (1)</t>
  </si>
  <si>
    <t>MANUAL,INSTRUCTION/EE</t>
  </si>
  <si>
    <t>459668931 (1)</t>
  </si>
  <si>
    <t>MANUAL,INSTRUCTION/IN</t>
  </si>
  <si>
    <t>limited WARRANTY</t>
  </si>
  <si>
    <t>SÁCH HDSD
EX15LP</t>
  </si>
  <si>
    <t>4-294-816-84</t>
  </si>
  <si>
    <t>MANUAL, INTRUCTION</t>
  </si>
  <si>
    <t>4-465-909-43(1)</t>
  </si>
  <si>
    <t>SÁCH HDSD, BẢO HÀNH E9</t>
  </si>
  <si>
    <t>4-264-526-23(1)</t>
  </si>
  <si>
    <t>MANUAL, INTRUCTION / E</t>
  </si>
  <si>
    <t>4-264-526-12(1)</t>
  </si>
  <si>
    <t>MANUAL, INTRUCTION / U</t>
  </si>
  <si>
    <t>4-557-148-36</t>
  </si>
  <si>
    <t>CARD, WARRANTY - PA (LIMITED WARRANTY) / U</t>
  </si>
  <si>
    <t>4-448-414-15</t>
  </si>
  <si>
    <t>MANUAL, INTRUCTION / AE</t>
  </si>
  <si>
    <t>4-154-131-02</t>
  </si>
  <si>
    <t>CORD WARRANTY / AE</t>
  </si>
  <si>
    <t>4-264-526-34(1)</t>
  </si>
  <si>
    <t>MANUAL, INTRUCTION / CA</t>
  </si>
  <si>
    <t>EAR PIECE
EX14AP</t>
  </si>
  <si>
    <t>4 - 196 - 348 - 01</t>
  </si>
  <si>
    <t>EAR PIECE-M (WHITE)</t>
  </si>
  <si>
    <t>4 - 198 - 348 - 61</t>
  </si>
  <si>
    <t>EAR PIECE-M (BLACK)</t>
  </si>
  <si>
    <t>XOFEX14BK</t>
  </si>
  <si>
    <t>EAR PIECE SMOKE BLACK ASSY</t>
  </si>
  <si>
    <t>XOFEX14WH</t>
  </si>
  <si>
    <t>EAR PIECE WHITE ASSY</t>
  </si>
  <si>
    <t>EAR PIECE
EX15 LP</t>
  </si>
  <si>
    <t>4-196-349-01</t>
  </si>
  <si>
    <t>EAR PIECE (S)-WH</t>
  </si>
  <si>
    <t>4-196-348-01</t>
  </si>
  <si>
    <t>EAR PIECE (M)-WH</t>
  </si>
  <si>
    <t>4-256-052-01</t>
  </si>
  <si>
    <t>EAR PIECE (L)-WH</t>
  </si>
  <si>
    <t>X0FEX15WH</t>
  </si>
  <si>
    <t>EAR PIECE ASSY - WH</t>
  </si>
  <si>
    <t>4-196-349-61</t>
  </si>
  <si>
    <t>EAR PIECE (S)-BK</t>
  </si>
  <si>
    <t>4-196-348-61</t>
  </si>
  <si>
    <t>EAR PIECE (M)-BK</t>
  </si>
  <si>
    <t>4-256-052-11</t>
  </si>
  <si>
    <t>EAR PIECE (L)-BK</t>
  </si>
  <si>
    <t>X0FEX15BK</t>
  </si>
  <si>
    <t>EAR PIECE ASSY - BK</t>
  </si>
  <si>
    <t>EAR PIECE 
E9</t>
  </si>
  <si>
    <t>XE1000601</t>
  </si>
  <si>
    <t>ATTACHMENT ASSY (BK)</t>
  </si>
  <si>
    <t>XE1000501</t>
  </si>
  <si>
    <t>ATTACHMENT ASSY (WH)</t>
  </si>
  <si>
    <t>EX14, EX15, E9</t>
  </si>
  <si>
    <t>LABEL(D) BAR CORD SONY</t>
  </si>
  <si>
    <t>EX15, E9-E</t>
  </si>
  <si>
    <t>4-698-136-01</t>
  </si>
  <si>
    <t>LABEL, PD (RU) - Tem ngày tháng bằng tiếng Nga</t>
  </si>
  <si>
    <t>TEM E9 - AE</t>
  </si>
  <si>
    <t>4-178-724-03</t>
  </si>
  <si>
    <t>LABEL, UKRAINE PRODUCTION (TEM MÀU TRẮNG P/D)</t>
  </si>
  <si>
    <t>TEM E9 - E</t>
  </si>
  <si>
    <t>4-574-055-01</t>
  </si>
  <si>
    <t>SDM STICK (TEM MÔI TRƯỜNG HÌNH VUÔNG) - 10*10</t>
  </si>
  <si>
    <t>4-574-054-01</t>
  </si>
  <si>
    <t>SDM STICK -2 (TEM MÔI TRƯỜNG HÌNH VUÔNG) - 12*10</t>
  </si>
  <si>
    <t>4-413-328-01</t>
  </si>
  <si>
    <t>SHEET, TRUST GRAM (Tem laser Sony) 8*3.5</t>
  </si>
  <si>
    <t>066605692</t>
  </si>
  <si>
    <t>SOLDER  无Pb</t>
  </si>
  <si>
    <t>MASTER CARTON EX14</t>
  </si>
  <si>
    <t>5-005-471-01</t>
  </si>
  <si>
    <t>MASTER CARTON, 24SETS (BZ/UC)</t>
  </si>
  <si>
    <t>5-005-471-11</t>
  </si>
  <si>
    <t>MASTER CARTON, 24SETS (WZ/UC)</t>
  </si>
  <si>
    <t>5-005-471-21</t>
  </si>
  <si>
    <t>MASTER CARTON, 24SETS (LIZ/UC)</t>
  </si>
  <si>
    <t>5-005-471-31</t>
  </si>
  <si>
    <t>MASTER CARTON, 24SETS (VZ/UC)</t>
  </si>
  <si>
    <t>5-005-473-01</t>
  </si>
  <si>
    <t>MASTER CARTON, 24SETS (BZ/EE)</t>
  </si>
  <si>
    <t>5-005-473-11</t>
  </si>
  <si>
    <t>MASTER CARTON, 24SETS (WZ/EE)</t>
  </si>
  <si>
    <t>5-005-473-21</t>
  </si>
  <si>
    <t>MASTER CARTON, 24SETS (LIZ/EE)</t>
  </si>
  <si>
    <t>5-005-475-01</t>
  </si>
  <si>
    <t>MASTER CARTON, 24SETS (BZ/IN)</t>
  </si>
  <si>
    <t>5-005-475-11</t>
  </si>
  <si>
    <t>MASTER CARTON, 24SETS (LIZ/IN)</t>
  </si>
  <si>
    <t>MASTER CARTON EX15</t>
  </si>
  <si>
    <t>5-006-115-01</t>
  </si>
  <si>
    <t>MASTER CARTON, 24SETS (BZ1/AE)</t>
  </si>
  <si>
    <t>5-006-115-11</t>
  </si>
  <si>
    <t>MASTER CARTON, 24SETS (WZ1/AE)</t>
  </si>
  <si>
    <t>5-006-115-21</t>
  </si>
  <si>
    <t>MASTER CARTON, 24SETS (PZ1/AE)</t>
  </si>
  <si>
    <t>5-006-115-31</t>
  </si>
  <si>
    <t>MASTER CARTON, 24SETS (LIZ1/AE)</t>
  </si>
  <si>
    <t>5-006-115-41</t>
  </si>
  <si>
    <t>MASTER CARTON, 24SETS (VZ1/AE)</t>
  </si>
  <si>
    <t>MASTER CARTON E9</t>
  </si>
  <si>
    <t>5-006-132-01</t>
  </si>
  <si>
    <t>MASTER CARTON, 50SETS (BZ1/E)</t>
  </si>
  <si>
    <t>5-006-132-11</t>
  </si>
  <si>
    <t>MASTER CARTON, 50SETS (WIZ1/E)</t>
  </si>
  <si>
    <t>5-006-132-21</t>
  </si>
  <si>
    <t>MASTER CARTON, 50SETS (HZ1/E)</t>
  </si>
  <si>
    <t>5-006-132-31</t>
  </si>
  <si>
    <t>MASTER CARTON, 50SETS (PZ1/E)</t>
  </si>
  <si>
    <t>5-006-132-41</t>
  </si>
  <si>
    <t>MASTER CARTON, 50SETS (LZ1/E)</t>
  </si>
  <si>
    <t>5-006-133-01</t>
  </si>
  <si>
    <t>MASTER CARTON, 24SETS (BZ1/U)</t>
  </si>
  <si>
    <t>5-006-133-11</t>
  </si>
  <si>
    <t>MASTER CARTON, 24SETS (WIZ1/U)</t>
  </si>
  <si>
    <t>5-006-133-21</t>
  </si>
  <si>
    <t>MASTER CARTON, 24SETS (HZ1/U)</t>
  </si>
  <si>
    <t>5-006-133-31</t>
  </si>
  <si>
    <t>MASTER CARTON, 24SETS (PZ1/U)</t>
  </si>
  <si>
    <t>5-006-133-41</t>
  </si>
  <si>
    <t>MASTER CARTON, 24SETS (LZ1/U)</t>
  </si>
  <si>
    <t>5-006-134-01</t>
  </si>
  <si>
    <t>MASTER CARTON, 24SETS (BZ1/AE/CA)</t>
  </si>
  <si>
    <t>5-006-134-11</t>
  </si>
  <si>
    <t>MASTER CARTON, 24SETS (HZ1/AE/CA)</t>
  </si>
  <si>
    <t>5-006-134-21</t>
  </si>
  <si>
    <t>MASTER CARTON, 24SETS (PZ1/AE/CA)</t>
  </si>
  <si>
    <t>5-006-134-31</t>
  </si>
  <si>
    <t>MASTER CARTON, 24SETS (LZ1/AE/CA)</t>
  </si>
  <si>
    <t>SUS CARTON 6SET EX14</t>
  </si>
  <si>
    <t>5-005-470-01</t>
  </si>
  <si>
    <t>MASTER CARTON, 6SETS SUB (BZ/UC)</t>
  </si>
  <si>
    <t>5-005-470-11</t>
  </si>
  <si>
    <t>MASTER CARTON, 6SETS SUB (WZ/UC)</t>
  </si>
  <si>
    <t>5-005-470-21</t>
  </si>
  <si>
    <t>MASTER CARTON, 6SETS SUB (LIZ/UC)</t>
  </si>
  <si>
    <t>5-005-470-31</t>
  </si>
  <si>
    <t>MASTER CARTON, 6SETS SUB (VZ/UC)</t>
  </si>
  <si>
    <t>5-005-472-01</t>
  </si>
  <si>
    <t>MASTER CARTON, 6SETS SUB (BZ/EE)</t>
  </si>
  <si>
    <t>5-005-472-11</t>
  </si>
  <si>
    <t>MASTER CARTON, 6SETS SUB (WZ/EE)</t>
  </si>
  <si>
    <t>5-005-472-21</t>
  </si>
  <si>
    <t>MASTER CARTON, 6SETS SUB (LIZ/EE)</t>
  </si>
  <si>
    <t>5-005-474-01</t>
  </si>
  <si>
    <t>MASTER CARTON, 6SETS SUB (BZ/IN)</t>
  </si>
  <si>
    <t>5-005-474-11</t>
  </si>
  <si>
    <t>MASTER CARTON, 6SETS SUB (LIZ/IN)</t>
  </si>
  <si>
    <t>SUS CARTON 6SET EX15</t>
  </si>
  <si>
    <t>5-006-114-01</t>
  </si>
  <si>
    <t>MASTER CARTON, 6SETS SUB (BZ1/AE)</t>
  </si>
  <si>
    <t>5-006-114-11</t>
  </si>
  <si>
    <t>MASTER CARTON, 6SETS SUB (WZ1/AE)</t>
  </si>
  <si>
    <t>5-006-114-21</t>
  </si>
  <si>
    <t>MASTER CARTON, 6SETS SUB (PIZ1/AE)</t>
  </si>
  <si>
    <t>5-006-114-31</t>
  </si>
  <si>
    <t>MASTER CARTON, 6SETS SUB (LIZ1/AE)</t>
  </si>
  <si>
    <t>5-006-114-41</t>
  </si>
  <si>
    <t>MASTER CARTON, 6SETS SUB (VZ1/AE)</t>
  </si>
  <si>
    <t>SUS CARTON 6SET E9</t>
  </si>
  <si>
    <t>5-006-130-01</t>
  </si>
  <si>
    <t>MASTER CARTON, 6SETS SUB (BZ1/U)</t>
  </si>
  <si>
    <t>5-006-130-11</t>
  </si>
  <si>
    <t>MASTER CARTON, 6SETS SUB (WIZ1/U)</t>
  </si>
  <si>
    <t>5-006-130-21</t>
  </si>
  <si>
    <t>MASTER CARTON, 6SETS SUB (HZ1/U)</t>
  </si>
  <si>
    <t>5-006-130-31</t>
  </si>
  <si>
    <t>MASTER CARTON, 6SETS SUB (PZ1/U)</t>
  </si>
  <si>
    <t>5-006-130-41</t>
  </si>
  <si>
    <t>MASTER CARTON, 6SETS SUB (LZ1/U)</t>
  </si>
  <si>
    <t>5-006-131-01</t>
  </si>
  <si>
    <t>MASTER CARTON, 6SETS SUB (BZ1/CA / AE)</t>
  </si>
  <si>
    <t>5-006-131-11</t>
  </si>
  <si>
    <t>MASTER CARTON, 6SETS SUB (HZ1/CA / AE)</t>
  </si>
  <si>
    <t>5-006-131-21</t>
  </si>
  <si>
    <t>MASTER CARTON, 6SETS SUB (PZ1/CA / AE)</t>
  </si>
  <si>
    <t>5-006-131-31</t>
  </si>
  <si>
    <t>MASTER CARTON, 6SETS SUB (LZ1/CA / AE)</t>
  </si>
  <si>
    <t>CARD BOARD EX14AP</t>
  </si>
  <si>
    <t>5-005-467-01</t>
  </si>
  <si>
    <t>CARDBOARD (BZ/UC)</t>
  </si>
  <si>
    <t>5-005-467-11</t>
  </si>
  <si>
    <t>CARDBOARD (WZ/UC)</t>
  </si>
  <si>
    <t>5-005-467-21</t>
  </si>
  <si>
    <t>CARDBOARD (LIZ/UC)</t>
  </si>
  <si>
    <t>5-005-467-31</t>
  </si>
  <si>
    <t>CARDBOARD (VZ/UC)</t>
  </si>
  <si>
    <t>5-005-468-01</t>
  </si>
  <si>
    <t>CARDBOARD (BZ/EE)</t>
  </si>
  <si>
    <t>5-005-468-11</t>
  </si>
  <si>
    <t>CARDBOARD (WZ/EE)</t>
  </si>
  <si>
    <t>5-005-468-21</t>
  </si>
  <si>
    <t>CARDBOARD (LIZ/EE)</t>
  </si>
  <si>
    <t>5-005-469-01</t>
  </si>
  <si>
    <t>CARDBOARD (BZ/IN)</t>
  </si>
  <si>
    <t>5-005-469-11</t>
  </si>
  <si>
    <t>CARDBOARD (LIZ/IN)</t>
  </si>
  <si>
    <t>CARD BOARD EX15LP</t>
  </si>
  <si>
    <t>5-006-113-01</t>
  </si>
  <si>
    <t>CARDBOARD (BZ1/AE)</t>
  </si>
  <si>
    <t>5-006-113-11</t>
  </si>
  <si>
    <t>CARDBOARD (WZ1/AE)</t>
  </si>
  <si>
    <t>5-006-113-21</t>
  </si>
  <si>
    <t>CARDBOARD (PIZ1/AE)</t>
  </si>
  <si>
    <t>5-006-113-31</t>
  </si>
  <si>
    <t>CARDBOARD (LIZ1/AE)</t>
  </si>
  <si>
    <t>5-006-113-41</t>
  </si>
  <si>
    <t>CARDBOARD (VZ1/AE)</t>
  </si>
  <si>
    <t>CARD BOARD E9LP</t>
  </si>
  <si>
    <t>5-006-119-01</t>
  </si>
  <si>
    <t>CARDBOARD (BZ1/E)</t>
  </si>
  <si>
    <t>5-006-119-11</t>
  </si>
  <si>
    <t>CARDBOARD (WIZ1/E)</t>
  </si>
  <si>
    <t>5-006-119-21</t>
  </si>
  <si>
    <t>CARDBOARD (HZ1/E)</t>
  </si>
  <si>
    <t>5-006-119-31</t>
  </si>
  <si>
    <t>CARDBOARD (PZ1/E)</t>
  </si>
  <si>
    <t>5-006-119-41</t>
  </si>
  <si>
    <t>CARDBOARD (LZ1/E)</t>
  </si>
  <si>
    <t>5-006-120-01</t>
  </si>
  <si>
    <t>CARDBOARD (BZ1/U)</t>
  </si>
  <si>
    <t>5-006-120-11</t>
  </si>
  <si>
    <t>CARDBOARD (WIZ1/U)</t>
  </si>
  <si>
    <t>5-006-120-21</t>
  </si>
  <si>
    <t>CARDBOARD (HZ1/U)</t>
  </si>
  <si>
    <t>5-006-120-31</t>
  </si>
  <si>
    <t>CARDBOARD (PZ1/U)</t>
  </si>
  <si>
    <t>5-006-120-41</t>
  </si>
  <si>
    <t>CARDBOARD (LZ1/U)</t>
  </si>
  <si>
    <t>5-006-121-01</t>
  </si>
  <si>
    <t>5-006-121-11</t>
  </si>
  <si>
    <t>CARDBOARD (HZ1/AE)</t>
  </si>
  <si>
    <t>5-006-121-21</t>
  </si>
  <si>
    <t>CARDBOARD (PZ1/AE)</t>
  </si>
  <si>
    <t>5-006-121-31</t>
  </si>
  <si>
    <t>CARDBOARD (LZ1/AE)</t>
  </si>
  <si>
    <t>CARDBOARD (BZ1/CA)</t>
  </si>
  <si>
    <t>CARDBOARD (HZ1/CA)</t>
  </si>
  <si>
    <t>CARDBOARD (PZ1/CA)</t>
  </si>
  <si>
    <t>CARDBOARD (LZ1/CA)</t>
  </si>
  <si>
    <t>4-415-821-01</t>
  </si>
  <si>
    <t>CASE,CYLINDER (EX14-UC, EX15, E9-AE, CA)</t>
  </si>
  <si>
    <t>E9</t>
  </si>
  <si>
    <t>4-415-821-11</t>
  </si>
  <si>
    <t>CASE,CYLINDER (E9-U/E)</t>
  </si>
  <si>
    <t>EX14</t>
  </si>
  <si>
    <t>4-740-691-01</t>
  </si>
  <si>
    <t>FRAME INNER (EX14-UC)</t>
  </si>
  <si>
    <t>EX15</t>
  </si>
  <si>
    <t>4-687-683-01</t>
  </si>
  <si>
    <t xml:space="preserve">FRAME INNER </t>
  </si>
  <si>
    <t>4-266-237-03</t>
  </si>
  <si>
    <t>FRAME INNER (E9 - E/U)</t>
  </si>
  <si>
    <t>4-266-522-03</t>
  </si>
  <si>
    <t>FRAME INNER (E9 - CA/AE)</t>
  </si>
  <si>
    <t>CAP (EX14-UC, EX15, E9-AE, CA)</t>
  </si>
  <si>
    <t>EX14 (IN/EE)</t>
  </si>
  <si>
    <t>FRAME INNER (IN)</t>
  </si>
  <si>
    <t>BLISTER</t>
  </si>
  <si>
    <t>E9 - E</t>
  </si>
  <si>
    <t>FOS-MRTP-001</t>
  </si>
  <si>
    <t>TAPE YELLOW</t>
  </si>
  <si>
    <t>TAPE (băng dính dán button)</t>
  </si>
  <si>
    <t>OPEN PREVENTION2(NITTO) - (băng dính dán hộp thành phẩm UC)</t>
  </si>
  <si>
    <t>OPEN PROTETION  IN/EE - (băng dính dán hộp thành phẩm IN/EE) SCOTH</t>
  </si>
  <si>
    <t>SHEET,PROTETION -  MÀNG NGĂN TP UC</t>
  </si>
  <si>
    <t>PE SHEET-  MÀNG NGĂN TP IN/EE</t>
  </si>
  <si>
    <t>066608701</t>
  </si>
  <si>
    <t>ADHESIVE TAPE-BĂNG DÍNH DÁN HỘP TP</t>
  </si>
  <si>
    <t>066645301</t>
  </si>
  <si>
    <t>FILM 3M</t>
  </si>
  <si>
    <t>055589552</t>
  </si>
  <si>
    <t>NIL PAD 卡板</t>
  </si>
  <si>
    <t>PCS</t>
  </si>
  <si>
    <t>KG</t>
  </si>
  <si>
    <t>TÚI</t>
  </si>
  <si>
    <t>cuộn</t>
  </si>
  <si>
    <t>Cuộn</t>
  </si>
  <si>
    <t>Tấm</t>
  </si>
  <si>
    <t>MÃ NGUYÊN LIỆU</t>
  </si>
  <si>
    <t>TỔNG NHẬP</t>
  </si>
  <si>
    <t>NGÀY TRONG THÁNG</t>
  </si>
  <si>
    <t>TỔNG XUẤT</t>
  </si>
  <si>
    <t>SEAL, OPEN PREVENTION BD BẦU DỤC</t>
  </si>
  <si>
    <t>TỔNG NG</t>
  </si>
  <si>
    <t>MDD 16 Ω (U,E, CA) - BLACK</t>
  </si>
  <si>
    <t>MDD 16 Ω (U,E, CA) - WHITE</t>
  </si>
  <si>
    <t>MDD 32 Ω (AE) - BLACK</t>
  </si>
  <si>
    <t>MDD 32 Ω (AE) - WHITE</t>
  </si>
  <si>
    <t>ĐỊNH MỨC SỬ DỤNG NGUYÊN LIỆU</t>
  </si>
  <si>
    <t>Nguyên liệu nhập ngoại</t>
  </si>
  <si>
    <t>Nguyên liệu mua nội địa</t>
  </si>
  <si>
    <t>Nguyên  liệu FOS VINA tự làm</t>
  </si>
  <si>
    <t>Tên nguyên liệu</t>
  </si>
  <si>
    <t>Nguyên liệu dùng</t>
  </si>
  <si>
    <t>ABS700-314 + 91621/色粉/黑色</t>
  </si>
  <si>
    <t>PP J-150 + 91560 B (BLACK)</t>
  </si>
  <si>
    <t>PC 301-22+ 91246 (BLACK)/
 ABS 920 + 91247 (BLACK)</t>
  </si>
  <si>
    <t>Guangxi</t>
  </si>
  <si>
    <t>LX VINA</t>
  </si>
  <si>
    <t>FOS VINA</t>
  </si>
  <si>
    <t>SANICO VN</t>
  </si>
  <si>
    <t>SHENMAO</t>
  </si>
  <si>
    <t>DONGSIN VINA</t>
  </si>
  <si>
    <t>YINGXIANG</t>
  </si>
  <si>
    <t>TORAY VIỆT NAM</t>
  </si>
  <si>
    <t>INABATA VIỆT NAM</t>
  </si>
  <si>
    <t>GLK VINA</t>
  </si>
  <si>
    <t>SUWON VINA</t>
  </si>
  <si>
    <t>GUANGXI</t>
  </si>
  <si>
    <t>GOOD PAPER VIỆT NAM</t>
  </si>
  <si>
    <t>LIANGZHI</t>
  </si>
  <si>
    <t>FOS DONGGUAN</t>
  </si>
  <si>
    <t>NITTO VIỆT NAM</t>
  </si>
  <si>
    <t>CAO SƠN</t>
  </si>
  <si>
    <t>ĐẠI DƯƠNG XANH</t>
  </si>
  <si>
    <t>TÂN HOÀNG LONG</t>
  </si>
  <si>
    <t>CỬU LONG</t>
  </si>
  <si>
    <t>ALPHA</t>
  </si>
  <si>
    <t>SONY</t>
  </si>
  <si>
    <t>SEJU</t>
  </si>
  <si>
    <t>PIN (PLUG-CHÂN CẮM) - EX14</t>
  </si>
  <si>
    <r>
      <t>NP-M31085APS 6101</t>
    </r>
    <r>
      <rPr>
        <sz val="8"/>
        <color theme="1"/>
        <rFont val="바탕"/>
        <family val="1"/>
        <charset val="129"/>
      </rPr>
      <t>（</t>
    </r>
    <r>
      <rPr>
        <sz val="8"/>
        <color theme="1"/>
        <rFont val="NSimSun"/>
        <family val="3"/>
        <charset val="134"/>
      </rPr>
      <t>蓝</t>
    </r>
    <r>
      <rPr>
        <sz val="8"/>
        <color theme="1"/>
        <rFont val="바탕"/>
        <family val="1"/>
        <charset val="129"/>
      </rPr>
      <t>色）</t>
    </r>
    <phoneticPr fontId="21" type="noConversion"/>
  </si>
  <si>
    <t>CORD EX14</t>
    <phoneticPr fontId="21" type="noConversion"/>
  </si>
  <si>
    <t>CABLE PLUG
EX14 AP</t>
    <phoneticPr fontId="21" type="noConversion"/>
  </si>
  <si>
    <t>EX14
WZ/UC</t>
    <phoneticPr fontId="21" type="noConversion"/>
  </si>
  <si>
    <t>EX14
BZ/UC</t>
    <phoneticPr fontId="21" type="noConversion"/>
  </si>
  <si>
    <t>개수</t>
    <phoneticPr fontId="21" type="noConversion"/>
  </si>
  <si>
    <t>NHẬP NGUYÊN LIỆU T7.2019</t>
    <phoneticPr fontId="21" type="noConversion"/>
  </si>
  <si>
    <t>CÔNG ĐOẠN LÀM CORD</t>
    <phoneticPr fontId="21" type="noConversion"/>
  </si>
  <si>
    <t>XUẤT NGUYÊN LIỆU T7.2019</t>
    <phoneticPr fontId="21" type="noConversion"/>
  </si>
  <si>
    <r>
      <t>NHÀ CUNG CẤP
(</t>
    </r>
    <r>
      <rPr>
        <sz val="11"/>
        <color theme="1"/>
        <rFont val="바탕"/>
        <family val="1"/>
        <charset val="129"/>
      </rPr>
      <t>회사</t>
    </r>
    <r>
      <rPr>
        <sz val="11"/>
        <color theme="1"/>
        <rFont val="Times New Roman"/>
        <family val="1"/>
      </rPr>
      <t>)</t>
    </r>
    <phoneticPr fontId="21" type="noConversion"/>
  </si>
  <si>
    <r>
      <t>TÊN NGUYÊN LIỆU
(</t>
    </r>
    <r>
      <rPr>
        <sz val="11"/>
        <color theme="1"/>
        <rFont val="바탕"/>
        <family val="1"/>
        <charset val="129"/>
      </rPr>
      <t>제품명</t>
    </r>
    <r>
      <rPr>
        <sz val="11"/>
        <color theme="1"/>
        <rFont val="Times New Roman"/>
        <family val="1"/>
      </rPr>
      <t>)</t>
    </r>
    <phoneticPr fontId="21" type="noConversion"/>
  </si>
  <si>
    <r>
      <t>MÃ NVL
(</t>
    </r>
    <r>
      <rPr>
        <sz val="11"/>
        <color theme="1"/>
        <rFont val="바탕"/>
        <family val="1"/>
        <charset val="129"/>
      </rPr>
      <t>제품코드</t>
    </r>
    <r>
      <rPr>
        <sz val="11"/>
        <color theme="1"/>
        <rFont val="Times New Roman"/>
        <family val="1"/>
      </rPr>
      <t>)</t>
    </r>
    <phoneticPr fontId="21" type="noConversion"/>
  </si>
  <si>
    <t>MASTER CARTON EX14</t>
    <phoneticPr fontId="21" type="noConversion"/>
  </si>
  <si>
    <t>REAR HOUSING R
 EX14AP, EX15LP</t>
    <phoneticPr fontId="21" type="noConversion"/>
  </si>
  <si>
    <t>SÁCH HDSD, BẢO HÀNH E9</t>
    <phoneticPr fontId="21" type="noConversion"/>
  </si>
  <si>
    <r>
      <t>CÔNG ĐOẠN THÀNH PHẨM(</t>
    </r>
    <r>
      <rPr>
        <b/>
        <sz val="22"/>
        <color theme="1"/>
        <rFont val="바탕"/>
        <family val="1"/>
        <charset val="129"/>
      </rPr>
      <t>포장재료</t>
    </r>
    <r>
      <rPr>
        <b/>
        <sz val="22"/>
        <color theme="1"/>
        <rFont val="Times New Roman"/>
        <family val="1"/>
      </rPr>
      <t>)</t>
    </r>
    <phoneticPr fontId="21" type="noConversion"/>
  </si>
  <si>
    <r>
      <t>CÔNG ĐOẠN LÀM CORD(</t>
    </r>
    <r>
      <rPr>
        <b/>
        <sz val="22"/>
        <color theme="1"/>
        <rFont val="바탕"/>
        <family val="1"/>
        <charset val="129"/>
      </rPr>
      <t>이어폰재료</t>
    </r>
    <r>
      <rPr>
        <b/>
        <sz val="22"/>
        <color theme="1"/>
        <rFont val="Times New Roman"/>
        <family val="1"/>
      </rPr>
      <t>)</t>
    </r>
    <phoneticPr fontId="21" type="noConversion"/>
  </si>
  <si>
    <r>
      <t>TỒN ĐẦU
(</t>
    </r>
    <r>
      <rPr>
        <sz val="11"/>
        <color theme="1"/>
        <rFont val="바탕"/>
        <family val="1"/>
        <charset val="129"/>
      </rPr>
      <t>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바탕"/>
        <family val="1"/>
        <charset val="129"/>
      </rPr>
      <t>달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바탕"/>
        <family val="1"/>
        <charset val="129"/>
      </rPr>
      <t>재고</t>
    </r>
    <r>
      <rPr>
        <sz val="11"/>
        <color theme="1"/>
        <rFont val="Times New Roman"/>
        <family val="1"/>
      </rPr>
      <t>)</t>
    </r>
    <phoneticPr fontId="21" type="noConversion"/>
  </si>
  <si>
    <r>
      <t>NG T7.2019
(</t>
    </r>
    <r>
      <rPr>
        <sz val="11"/>
        <color theme="1"/>
        <rFont val="바탕"/>
        <family val="1"/>
        <charset val="129"/>
      </rPr>
      <t>불량품</t>
    </r>
    <r>
      <rPr>
        <sz val="11"/>
        <color theme="1"/>
        <rFont val="Times New Roman"/>
        <family val="1"/>
      </rPr>
      <t>)</t>
    </r>
    <phoneticPr fontId="21" type="noConversion"/>
  </si>
  <si>
    <r>
      <t>TỒN CUỐI
(</t>
    </r>
    <r>
      <rPr>
        <sz val="11"/>
        <color theme="1"/>
        <rFont val="바탕"/>
        <family val="1"/>
        <charset val="129"/>
      </rPr>
      <t>현재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바탕"/>
        <family val="1"/>
        <charset val="129"/>
      </rPr>
      <t>재고</t>
    </r>
    <r>
      <rPr>
        <sz val="11"/>
        <color theme="1"/>
        <rFont val="Times New Roman"/>
        <family val="1"/>
      </rPr>
      <t>)</t>
    </r>
    <phoneticPr fontId="21" type="noConversion"/>
  </si>
  <si>
    <t>NG NGUYÊN LIỆU T7.2019</t>
    <phoneticPr fontId="21" type="noConversion"/>
  </si>
  <si>
    <t>066605692</t>
    <phoneticPr fontId="1" type="noConversion"/>
  </si>
  <si>
    <r>
      <t>NHẬP T7.2019
(</t>
    </r>
    <r>
      <rPr>
        <sz val="11"/>
        <color theme="1"/>
        <rFont val="바탕"/>
        <family val="1"/>
        <charset val="129"/>
      </rPr>
      <t>입고</t>
    </r>
    <r>
      <rPr>
        <sz val="11"/>
        <color theme="1"/>
        <rFont val="Times New Roman"/>
        <family val="1"/>
      </rPr>
      <t>)</t>
    </r>
    <phoneticPr fontId="21" type="noConversion"/>
  </si>
  <si>
    <r>
      <t>XUẤT T7.2019
(</t>
    </r>
    <r>
      <rPr>
        <sz val="11"/>
        <color theme="1"/>
        <rFont val="바탕"/>
        <family val="1"/>
        <charset val="129"/>
      </rPr>
      <t>출고</t>
    </r>
    <r>
      <rPr>
        <sz val="11"/>
        <color theme="1"/>
        <rFont val="Times New Roman"/>
        <family val="1"/>
      </rPr>
      <t>)</t>
    </r>
    <phoneticPr fontId="21" type="noConversion"/>
  </si>
  <si>
    <t xml:space="preserve">  </t>
    <phoneticPr fontId="21" type="noConversion"/>
  </si>
  <si>
    <t xml:space="preserve">FOS VINA CO.,LTD                     </t>
  </si>
  <si>
    <t>LOT 11, NAM THANH BA INDUSTRIAL ZON, DO SON COMMUNE</t>
  </si>
  <si>
    <t>THANH BA DISTRICT, PHU THO PROVINCE, VIET NAM</t>
  </si>
  <si>
    <t>Tel:  0210 6577772</t>
  </si>
  <si>
    <t>货币单位:</t>
  </si>
  <si>
    <t>USD</t>
  </si>
  <si>
    <t xml:space="preserve">                    </t>
  </si>
  <si>
    <t>作成：FOS VINA HUONG</t>
  </si>
  <si>
    <t>TO:</t>
  </si>
  <si>
    <t>DONGGUAN CITY LIANGZHI INDUSTRY CO.,LTD</t>
    <phoneticPr fontId="21" type="noConversion"/>
  </si>
  <si>
    <t>Date:</t>
  </si>
  <si>
    <t>Vender Code:</t>
  </si>
  <si>
    <t>M160071</t>
  </si>
  <si>
    <t>TEL:</t>
  </si>
  <si>
    <t>Fax :</t>
  </si>
  <si>
    <t>PAGE:1/3</t>
  </si>
  <si>
    <r>
      <t>Remarks:</t>
    </r>
    <r>
      <rPr>
        <b/>
        <sz val="10"/>
        <rFont val="Times New Roman"/>
        <family val="1"/>
      </rPr>
      <t>SONY SS-00259环境标准管理</t>
    </r>
  </si>
  <si>
    <t>P/O No.</t>
  </si>
  <si>
    <t>Parts Name</t>
  </si>
  <si>
    <t>Parts No.</t>
  </si>
  <si>
    <t>Description of goods</t>
  </si>
  <si>
    <t>Quantity</t>
  </si>
  <si>
    <t>Unit</t>
  </si>
  <si>
    <t>Unit Price</t>
  </si>
  <si>
    <t>Amount</t>
  </si>
  <si>
    <t>Delivery Date</t>
  </si>
  <si>
    <t xml:space="preserve"> Remarks </t>
  </si>
  <si>
    <t>-</t>
    <phoneticPr fontId="21" type="noConversion"/>
  </si>
  <si>
    <t>T O T A L</t>
  </si>
  <si>
    <t>NOTE: Week 36 -  Week 39 (PO SEPTEMBER) - ETA: 25/08/2019</t>
  </si>
  <si>
    <t>FOS-KEA-001</t>
  </si>
  <si>
    <t xml:space="preserve"> Payment term        ：</t>
  </si>
  <si>
    <t xml:space="preserve"> Incoterms               ：</t>
  </si>
  <si>
    <t>DDU</t>
  </si>
  <si>
    <t xml:space="preserve"> Final Destination   ：</t>
  </si>
  <si>
    <t>FOS VINA CO.,LTD.</t>
  </si>
  <si>
    <t xml:space="preserve"> Packing                   ：</t>
  </si>
  <si>
    <t>Standard Packing For Export</t>
  </si>
  <si>
    <t>Procurement Manager:</t>
  </si>
  <si>
    <t>YINGXIANG</t>
    <phoneticPr fontId="21" type="noConversion"/>
  </si>
  <si>
    <t>nhựa màu</t>
    <phoneticPr fontId="21" type="noConversion"/>
  </si>
  <si>
    <t>COMPANY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</si>
</sst>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26" formatCode="\$#,##0.00_);[Red]\(\$#,##0.00\)"/>
    <numFmt numFmtId="176" formatCode="_(* #,##0_);_(* \(#,##0\);_(* &quot;-&quot;_);_(@_)"/>
    <numFmt numFmtId="177" formatCode="_(* #,##0.00_);_(* \(#,##0.00\);_(* &quot;-&quot;??_);_(@_)"/>
    <numFmt numFmtId="178" formatCode="_(* #,##0_);_(* \(#,##0\);_(* &quot;-&quot;??_);_(@_)"/>
    <numFmt numFmtId="179" formatCode="0.00000"/>
    <numFmt numFmtId="180" formatCode="0.000000"/>
    <numFmt numFmtId="181" formatCode="0.00000000"/>
    <numFmt numFmtId="182" formatCode="_(* #,##0.0_);_(* \(#,##0.0\);_(* &quot;-&quot;??_);_(@_)"/>
    <numFmt numFmtId="183" formatCode="0.000000000000"/>
    <numFmt numFmtId="184" formatCode="0.0000"/>
    <numFmt numFmtId="185" formatCode="0.0000000"/>
    <numFmt numFmtId="186" formatCode="0.0"/>
    <numFmt numFmtId="187" formatCode="0.000"/>
    <numFmt numFmtId="188" formatCode="0.000000000"/>
    <numFmt numFmtId="189" formatCode="0.0000000000"/>
    <numFmt numFmtId="190" formatCode="[$-409]d/mmm;@"/>
    <numFmt numFmtId="191" formatCode="[$€]#,##0.00;[Red][$€]\-#,##0.00"/>
    <numFmt numFmtId="192" formatCode="_ * #,##0.00_ ;_ * \-#,##0.00_ ;_ * &quot;-&quot;??_ ;_ @_ "/>
    <numFmt numFmtId="193" formatCode="#,##0_ ;[Red]\-#,##0\ "/>
    <numFmt numFmtId="194" formatCode="_-[$$-409]* #,##0.00_ ;_-[$$-409]* \-#,##0.00\ ;_-[$$-409]* &quot;-&quot;??_ ;_-@_ "/>
    <numFmt numFmtId="195" formatCode="&quot;₩&quot;#,##0_);[Red]\(&quot;₩&quot;#,##0\)"/>
    <numFmt numFmtId="196" formatCode="m&quot;月&quot;d&quot;日&quot;;@"/>
    <numFmt numFmtId="197" formatCode="#,##0_ "/>
  </numFmts>
  <fonts count="3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1"/>
      <color theme="1"/>
      <name val="Times New Roman"/>
      <family val="1"/>
    </font>
    <font>
      <sz val="9"/>
      <name val="Times New Roman"/>
      <family val="1"/>
    </font>
    <font>
      <sz val="11"/>
      <name val="돋움"/>
      <family val="3"/>
      <charset val="129"/>
    </font>
    <font>
      <sz val="8"/>
      <name val="Times New Roman"/>
      <family val="1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sz val="8"/>
      <color rgb="FFFF0000"/>
      <name val="Times New Roman"/>
      <family val="1"/>
    </font>
    <font>
      <sz val="10"/>
      <name val="Times New Roman"/>
      <family val="1"/>
    </font>
    <font>
      <sz val="8"/>
      <name val="Calibri"/>
      <family val="2"/>
    </font>
    <font>
      <sz val="10"/>
      <color theme="1"/>
      <name val="Times New Roman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Times New Roman"/>
      <family val="1"/>
    </font>
    <font>
      <b/>
      <sz val="24"/>
      <name val="Times New Roman"/>
      <family val="1"/>
    </font>
    <font>
      <b/>
      <sz val="11"/>
      <color theme="1"/>
      <name val="Times New Roman"/>
      <family val="1"/>
    </font>
    <font>
      <b/>
      <sz val="22"/>
      <color theme="1"/>
      <name val="Times New Roman"/>
      <family val="1"/>
    </font>
    <font>
      <b/>
      <sz val="26"/>
      <color theme="1"/>
      <name val="Times New Roman"/>
      <family val="1"/>
    </font>
    <font>
      <b/>
      <sz val="14"/>
      <name val="Times New Roman"/>
      <family val="1"/>
    </font>
    <font>
      <i/>
      <sz val="12"/>
      <name val="Times New Roman"/>
      <family val="1"/>
    </font>
    <font>
      <sz val="8"/>
      <name val="맑은 고딕"/>
      <family val="3"/>
      <charset val="129"/>
      <scheme val="minor"/>
    </font>
    <font>
      <sz val="8"/>
      <color theme="1"/>
      <name val="바탕"/>
      <family val="1"/>
      <charset val="129"/>
    </font>
    <font>
      <sz val="8"/>
      <color theme="1"/>
      <name val="NSimSun"/>
      <family val="3"/>
      <charset val="134"/>
    </font>
    <font>
      <b/>
      <sz val="9"/>
      <color indexed="81"/>
      <name val="돋움"/>
      <family val="3"/>
      <charset val="129"/>
    </font>
    <font>
      <b/>
      <sz val="22"/>
      <color theme="1"/>
      <name val="바탕"/>
      <family val="1"/>
      <charset val="129"/>
    </font>
    <font>
      <b/>
      <sz val="10"/>
      <color theme="1"/>
      <name val="바탕"/>
      <family val="1"/>
      <charset val="129"/>
    </font>
    <font>
      <sz val="11"/>
      <color theme="1"/>
      <name val="바탕"/>
      <family val="1"/>
      <charset val="129"/>
    </font>
    <font>
      <sz val="11"/>
      <name val="돋움"/>
      <family val="2"/>
    </font>
    <font>
      <sz val="11"/>
      <name val="Times New Roman"/>
      <family val="1"/>
    </font>
    <font>
      <b/>
      <sz val="10"/>
      <name val="Times New Roman"/>
      <family val="1"/>
    </font>
    <font>
      <b/>
      <sz val="11"/>
      <name val="Times New Roman"/>
      <family val="1"/>
    </font>
    <font>
      <sz val="12"/>
      <name val="MS Gothic"/>
      <family val="3"/>
      <charset val="128"/>
    </font>
    <font>
      <b/>
      <sz val="12"/>
      <name val="Times New Roman"/>
      <family val="1"/>
    </font>
    <font>
      <sz val="12"/>
      <name val="MS PGothic"/>
      <family val="2"/>
      <charset val="128"/>
    </font>
    <font>
      <b/>
      <sz val="8"/>
      <name val="Times New Roman"/>
      <family val="1"/>
    </font>
    <font>
      <sz val="10"/>
      <name val="Arial"/>
      <family val="2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177" fontId="1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/>
    <xf numFmtId="190" fontId="28" fillId="0" borderId="0" applyNumberFormat="0" applyFont="0" applyFill="0" applyBorder="0" applyProtection="0"/>
    <xf numFmtId="191" fontId="32" fillId="0" borderId="0"/>
    <xf numFmtId="190" fontId="28" fillId="0" borderId="0" applyNumberFormat="0" applyFont="0" applyFill="0" applyBorder="0" applyProtection="0"/>
    <xf numFmtId="192" fontId="34" fillId="0" borderId="0" applyFont="0" applyFill="0" applyBorder="0" applyAlignment="0" applyProtection="0">
      <alignment vertical="center"/>
    </xf>
    <xf numFmtId="191" fontId="36" fillId="0" borderId="0" applyFont="0" applyFill="0" applyBorder="0" applyAlignment="0" applyProtection="0"/>
  </cellStyleXfs>
  <cellXfs count="355">
    <xf numFmtId="0" fontId="0" fillId="0" borderId="0" xfId="0"/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1" xfId="2" quotePrefix="1" applyFont="1" applyFill="1" applyBorder="1" applyAlignment="1">
      <alignment vertical="center" wrapText="1"/>
    </xf>
    <xf numFmtId="0" fontId="5" fillId="0" borderId="1" xfId="3" applyFont="1" applyFill="1" applyBorder="1" applyAlignment="1">
      <alignment horizontal="left" vertical="center"/>
    </xf>
    <xf numFmtId="0" fontId="5" fillId="0" borderId="1" xfId="4" applyFont="1" applyFill="1" applyBorder="1" applyAlignment="1">
      <alignment horizontal="left" vertical="center"/>
    </xf>
    <xf numFmtId="0" fontId="5" fillId="0" borderId="1" xfId="5" applyFont="1" applyFill="1" applyBorder="1" applyAlignment="1">
      <alignment horizontal="left" vertical="center"/>
    </xf>
    <xf numFmtId="0" fontId="5" fillId="0" borderId="1" xfId="6" applyFont="1" applyFill="1" applyBorder="1" applyAlignment="1">
      <alignment horizontal="left" vertical="center"/>
    </xf>
    <xf numFmtId="0" fontId="3" fillId="0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178" fontId="3" fillId="0" borderId="1" xfId="1" applyNumberFormat="1" applyFont="1" applyFill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3" fillId="0" borderId="1" xfId="0" applyFont="1" applyBorder="1" applyAlignment="1"/>
    <xf numFmtId="0" fontId="5" fillId="0" borderId="1" xfId="0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/>
    </xf>
    <xf numFmtId="0" fontId="3" fillId="0" borderId="1" xfId="0" applyFont="1" applyBorder="1"/>
    <xf numFmtId="0" fontId="5" fillId="0" borderId="1" xfId="0" applyFont="1" applyBorder="1"/>
    <xf numFmtId="0" fontId="2" fillId="0" borderId="1" xfId="0" applyFont="1" applyBorder="1"/>
    <xf numFmtId="178" fontId="3" fillId="0" borderId="1" xfId="1" applyNumberFormat="1" applyFont="1" applyBorder="1"/>
    <xf numFmtId="0" fontId="9" fillId="0" borderId="1" xfId="2" quotePrefix="1" applyFont="1" applyFill="1" applyBorder="1" applyAlignment="1">
      <alignment horizontal="left" vertical="top" wrapText="1"/>
    </xf>
    <xf numFmtId="0" fontId="9" fillId="0" borderId="1" xfId="3" applyFont="1" applyFill="1" applyBorder="1" applyAlignment="1">
      <alignment horizontal="left" vertical="center"/>
    </xf>
    <xf numFmtId="0" fontId="3" fillId="0" borderId="1" xfId="0" quotePrefix="1" applyFont="1" applyFill="1" applyBorder="1" applyAlignment="1"/>
    <xf numFmtId="0" fontId="9" fillId="0" borderId="1" xfId="7" applyFont="1" applyFill="1" applyBorder="1" applyAlignment="1">
      <alignment horizontal="left" vertical="center"/>
    </xf>
    <xf numFmtId="0" fontId="5" fillId="0" borderId="1" xfId="8" applyFont="1" applyFill="1" applyBorder="1" applyAlignment="1">
      <alignment horizontal="left" vertical="center"/>
    </xf>
    <xf numFmtId="0" fontId="9" fillId="0" borderId="7" xfId="9" applyFont="1" applyFill="1" applyBorder="1" applyAlignment="1">
      <alignment horizontal="left" vertical="center"/>
    </xf>
    <xf numFmtId="0" fontId="5" fillId="0" borderId="7" xfId="10" applyFont="1" applyFill="1" applyBorder="1" applyAlignment="1">
      <alignment horizontal="left" vertical="center"/>
    </xf>
    <xf numFmtId="0" fontId="9" fillId="0" borderId="1" xfId="9" applyFont="1" applyFill="1" applyBorder="1" applyAlignment="1">
      <alignment horizontal="left" vertical="center"/>
    </xf>
    <xf numFmtId="0" fontId="5" fillId="0" borderId="1" xfId="10" applyFont="1" applyFill="1" applyBorder="1" applyAlignment="1">
      <alignment horizontal="left" vertical="center"/>
    </xf>
    <xf numFmtId="0" fontId="9" fillId="0" borderId="1" xfId="11" applyFont="1" applyFill="1" applyBorder="1" applyAlignment="1">
      <alignment horizontal="left" vertical="center"/>
    </xf>
    <xf numFmtId="0" fontId="5" fillId="0" borderId="1" xfId="12" applyFont="1" applyFill="1" applyBorder="1" applyAlignment="1">
      <alignment horizontal="left" vertical="center"/>
    </xf>
    <xf numFmtId="0" fontId="9" fillId="0" borderId="1" xfId="13" applyFont="1" applyFill="1" applyBorder="1" applyAlignment="1">
      <alignment horizontal="left" vertical="center"/>
    </xf>
    <xf numFmtId="0" fontId="5" fillId="0" borderId="1" xfId="14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vertical="center"/>
    </xf>
    <xf numFmtId="0" fontId="9" fillId="0" borderId="5" xfId="0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15" applyFont="1" applyFill="1" applyBorder="1" applyAlignment="1">
      <alignment horizontal="left" vertical="center" wrapText="1"/>
    </xf>
    <xf numFmtId="0" fontId="5" fillId="0" borderId="1" xfId="15" applyFont="1" applyFill="1" applyBorder="1" applyAlignment="1">
      <alignment horizontal="left" vertical="center"/>
    </xf>
    <xf numFmtId="0" fontId="9" fillId="0" borderId="1" xfId="0" applyFont="1" applyFill="1" applyBorder="1"/>
    <xf numFmtId="0" fontId="9" fillId="0" borderId="1" xfId="0" applyNumberFormat="1" applyFont="1" applyFill="1" applyBorder="1"/>
    <xf numFmtId="0" fontId="9" fillId="0" borderId="5" xfId="0" applyNumberFormat="1" applyFont="1" applyFill="1" applyBorder="1"/>
    <xf numFmtId="0" fontId="9" fillId="0" borderId="1" xfId="0" quotePrefix="1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center"/>
    </xf>
    <xf numFmtId="0" fontId="9" fillId="0" borderId="5" xfId="0" applyFont="1" applyFill="1" applyBorder="1"/>
    <xf numFmtId="0" fontId="11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0" fontId="0" fillId="0" borderId="1" xfId="0" applyBorder="1"/>
    <xf numFmtId="0" fontId="5" fillId="0" borderId="1" xfId="0" applyFont="1" applyFill="1" applyBorder="1" applyAlignment="1">
      <alignment horizontal="center"/>
    </xf>
    <xf numFmtId="178" fontId="3" fillId="0" borderId="1" xfId="1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15" fillId="0" borderId="0" xfId="0" applyFont="1" applyAlignment="1">
      <alignment vertical="top"/>
    </xf>
    <xf numFmtId="0" fontId="14" fillId="2" borderId="1" xfId="0" applyFont="1" applyFill="1" applyBorder="1"/>
    <xf numFmtId="0" fontId="14" fillId="2" borderId="2" xfId="0" applyFont="1" applyFill="1" applyBorder="1"/>
    <xf numFmtId="0" fontId="14" fillId="3" borderId="4" xfId="0" applyFont="1" applyFill="1" applyBorder="1" applyAlignment="1"/>
    <xf numFmtId="0" fontId="5" fillId="0" borderId="2" xfId="0" applyFont="1" applyFill="1" applyBorder="1" applyAlignment="1">
      <alignment horizontal="center"/>
    </xf>
    <xf numFmtId="178" fontId="3" fillId="0" borderId="2" xfId="1" applyNumberFormat="1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" xfId="2" quotePrefix="1" applyFont="1" applyFill="1" applyBorder="1" applyAlignment="1">
      <alignment horizontal="left" vertical="top" wrapText="1"/>
    </xf>
    <xf numFmtId="176" fontId="0" fillId="0" borderId="1" xfId="0" applyNumberFormat="1" applyBorder="1"/>
    <xf numFmtId="176" fontId="2" fillId="0" borderId="1" xfId="0" applyNumberFormat="1" applyFont="1" applyBorder="1"/>
    <xf numFmtId="0" fontId="7" fillId="0" borderId="1" xfId="0" applyFont="1" applyBorder="1"/>
    <xf numFmtId="0" fontId="5" fillId="0" borderId="1" xfId="0" applyFont="1" applyFill="1" applyBorder="1"/>
    <xf numFmtId="0" fontId="5" fillId="0" borderId="1" xfId="0" applyNumberFormat="1" applyFont="1" applyFill="1" applyBorder="1"/>
    <xf numFmtId="0" fontId="5" fillId="0" borderId="5" xfId="0" applyNumberFormat="1" applyFont="1" applyFill="1" applyBorder="1"/>
    <xf numFmtId="0" fontId="5" fillId="0" borderId="5" xfId="0" applyFont="1" applyFill="1" applyBorder="1"/>
    <xf numFmtId="0" fontId="5" fillId="0" borderId="7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8" fontId="2" fillId="0" borderId="1" xfId="1" applyNumberFormat="1" applyFont="1" applyBorder="1" applyAlignment="1">
      <alignment vertical="center"/>
    </xf>
    <xf numFmtId="182" fontId="2" fillId="0" borderId="1" xfId="1" applyNumberFormat="1" applyFont="1" applyBorder="1" applyAlignment="1">
      <alignment vertical="center"/>
    </xf>
    <xf numFmtId="0" fontId="9" fillId="0" borderId="7" xfId="0" applyFont="1" applyFill="1" applyBorder="1" applyAlignment="1">
      <alignment horizontal="center" vertical="center"/>
    </xf>
    <xf numFmtId="178" fontId="2" fillId="0" borderId="1" xfId="1" applyNumberFormat="1" applyFont="1" applyBorder="1"/>
    <xf numFmtId="177" fontId="2" fillId="0" borderId="1" xfId="1" applyFont="1" applyBorder="1"/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3" fillId="6" borderId="1" xfId="2" quotePrefix="1" applyFont="1" applyFill="1" applyBorder="1" applyAlignment="1">
      <alignment vertical="center" wrapText="1"/>
    </xf>
    <xf numFmtId="0" fontId="5" fillId="6" borderId="1" xfId="3" applyFont="1" applyFill="1" applyBorder="1" applyAlignment="1">
      <alignment horizontal="left" vertical="center"/>
    </xf>
    <xf numFmtId="0" fontId="5" fillId="6" borderId="1" xfId="4" applyFont="1" applyFill="1" applyBorder="1" applyAlignment="1">
      <alignment horizontal="left" vertical="center"/>
    </xf>
    <xf numFmtId="0" fontId="5" fillId="6" borderId="1" xfId="5" applyFont="1" applyFill="1" applyBorder="1" applyAlignment="1">
      <alignment horizontal="left" vertical="center"/>
    </xf>
    <xf numFmtId="0" fontId="5" fillId="6" borderId="1" xfId="6" applyFont="1" applyFill="1" applyBorder="1" applyAlignment="1">
      <alignment horizontal="left" vertical="center"/>
    </xf>
    <xf numFmtId="0" fontId="3" fillId="6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vertical="center"/>
    </xf>
    <xf numFmtId="178" fontId="3" fillId="6" borderId="1" xfId="1" applyNumberFormat="1" applyFont="1" applyFill="1" applyBorder="1" applyAlignment="1">
      <alignment horizontal="left" vertical="center"/>
    </xf>
    <xf numFmtId="0" fontId="6" fillId="6" borderId="1" xfId="0" quotePrefix="1" applyFont="1" applyFill="1" applyBorder="1" applyAlignment="1">
      <alignment horizontal="left" vertical="center"/>
    </xf>
    <xf numFmtId="0" fontId="3" fillId="7" borderId="1" xfId="0" applyFont="1" applyFill="1" applyBorder="1" applyAlignment="1"/>
    <xf numFmtId="0" fontId="5" fillId="7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/>
    <xf numFmtId="0" fontId="7" fillId="6" borderId="1" xfId="0" applyFont="1" applyFill="1" applyBorder="1" applyAlignment="1">
      <alignment horizontal="left" vertical="center"/>
    </xf>
    <xf numFmtId="0" fontId="7" fillId="7" borderId="1" xfId="0" applyFont="1" applyFill="1" applyBorder="1" applyAlignment="1">
      <alignment horizontal="left" vertical="center"/>
    </xf>
    <xf numFmtId="0" fontId="5" fillId="7" borderId="1" xfId="0" applyFont="1" applyFill="1" applyBorder="1" applyAlignment="1">
      <alignment wrapText="1"/>
    </xf>
    <xf numFmtId="0" fontId="5" fillId="7" borderId="1" xfId="0" applyFont="1" applyFill="1" applyBorder="1"/>
    <xf numFmtId="0" fontId="2" fillId="7" borderId="1" xfId="0" applyFont="1" applyFill="1" applyBorder="1"/>
    <xf numFmtId="178" fontId="3" fillId="7" borderId="1" xfId="1" applyNumberFormat="1" applyFont="1" applyFill="1" applyBorder="1" applyAlignment="1">
      <alignment horizontal="left"/>
    </xf>
    <xf numFmtId="0" fontId="2" fillId="6" borderId="1" xfId="0" applyFont="1" applyFill="1" applyBorder="1"/>
    <xf numFmtId="0" fontId="3" fillId="8" borderId="1" xfId="0" applyFont="1" applyFill="1" applyBorder="1" applyAlignment="1">
      <alignment vertical="center"/>
    </xf>
    <xf numFmtId="0" fontId="5" fillId="8" borderId="1" xfId="0" applyFont="1" applyFill="1" applyBorder="1" applyAlignment="1">
      <alignment horizontal="left" vertical="center"/>
    </xf>
    <xf numFmtId="0" fontId="6" fillId="8" borderId="1" xfId="0" applyFont="1" applyFill="1" applyBorder="1" applyAlignment="1">
      <alignment vertical="center"/>
    </xf>
    <xf numFmtId="0" fontId="9" fillId="6" borderId="1" xfId="7" applyFont="1" applyFill="1" applyBorder="1" applyAlignment="1">
      <alignment horizontal="left" vertical="center"/>
    </xf>
    <xf numFmtId="0" fontId="5" fillId="6" borderId="1" xfId="8" applyFont="1" applyFill="1" applyBorder="1" applyAlignment="1">
      <alignment horizontal="left" vertical="center"/>
    </xf>
    <xf numFmtId="0" fontId="9" fillId="6" borderId="7" xfId="9" applyFont="1" applyFill="1" applyBorder="1" applyAlignment="1">
      <alignment horizontal="left" vertical="center"/>
    </xf>
    <xf numFmtId="0" fontId="5" fillId="6" borderId="7" xfId="10" applyFont="1" applyFill="1" applyBorder="1" applyAlignment="1">
      <alignment horizontal="left" vertical="center"/>
    </xf>
    <xf numFmtId="0" fontId="9" fillId="6" borderId="1" xfId="9" applyFont="1" applyFill="1" applyBorder="1" applyAlignment="1">
      <alignment horizontal="left" vertical="center"/>
    </xf>
    <xf numFmtId="0" fontId="5" fillId="6" borderId="1" xfId="10" applyFont="1" applyFill="1" applyBorder="1" applyAlignment="1">
      <alignment horizontal="left" vertical="center"/>
    </xf>
    <xf numFmtId="0" fontId="9" fillId="6" borderId="1" xfId="11" applyFont="1" applyFill="1" applyBorder="1" applyAlignment="1">
      <alignment horizontal="left" vertical="center"/>
    </xf>
    <xf numFmtId="0" fontId="5" fillId="6" borderId="1" xfId="12" applyFont="1" applyFill="1" applyBorder="1" applyAlignment="1">
      <alignment horizontal="left" vertical="center"/>
    </xf>
    <xf numFmtId="0" fontId="9" fillId="6" borderId="1" xfId="13" applyFont="1" applyFill="1" applyBorder="1" applyAlignment="1">
      <alignment horizontal="left" vertical="center"/>
    </xf>
    <xf numFmtId="0" fontId="5" fillId="6" borderId="1" xfId="14" applyFont="1" applyFill="1" applyBorder="1" applyAlignment="1">
      <alignment horizontal="left" vertical="center"/>
    </xf>
    <xf numFmtId="0" fontId="9" fillId="7" borderId="1" xfId="0" applyFont="1" applyFill="1" applyBorder="1" applyAlignment="1">
      <alignment horizontal="left" vertical="center" wrapText="1"/>
    </xf>
    <xf numFmtId="0" fontId="9" fillId="8" borderId="1" xfId="0" applyFont="1" applyFill="1" applyBorder="1" applyAlignment="1">
      <alignment horizontal="left" vertical="center"/>
    </xf>
    <xf numFmtId="0" fontId="5" fillId="8" borderId="1" xfId="0" applyFont="1" applyFill="1" applyBorder="1" applyAlignment="1">
      <alignment vertical="center"/>
    </xf>
    <xf numFmtId="0" fontId="9" fillId="8" borderId="5" xfId="0" applyFont="1" applyFill="1" applyBorder="1" applyAlignment="1">
      <alignment horizontal="left" vertical="center" wrapText="1"/>
    </xf>
    <xf numFmtId="0" fontId="9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3" fillId="6" borderId="1" xfId="15" applyFont="1" applyFill="1" applyBorder="1" applyAlignment="1">
      <alignment horizontal="left" vertical="center" wrapText="1"/>
    </xf>
    <xf numFmtId="0" fontId="5" fillId="6" borderId="1" xfId="15" applyFont="1" applyFill="1" applyBorder="1" applyAlignment="1">
      <alignment horizontal="left" vertical="center"/>
    </xf>
    <xf numFmtId="0" fontId="9" fillId="6" borderId="1" xfId="0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9" fillId="6" borderId="1" xfId="0" quotePrefix="1" applyFont="1" applyFill="1" applyBorder="1" applyAlignment="1">
      <alignment horizontal="left" vertical="center" wrapText="1"/>
    </xf>
    <xf numFmtId="0" fontId="11" fillId="6" borderId="1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vertical="center"/>
    </xf>
    <xf numFmtId="0" fontId="9" fillId="7" borderId="1" xfId="0" quotePrefix="1" applyFont="1" applyFill="1" applyBorder="1" applyAlignment="1">
      <alignment horizontal="left" vertical="center" wrapText="1"/>
    </xf>
    <xf numFmtId="0" fontId="2" fillId="0" borderId="0" xfId="0" applyFont="1" applyFill="1" applyBorder="1"/>
    <xf numFmtId="0" fontId="5" fillId="0" borderId="0" xfId="3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9" fillId="8" borderId="1" xfId="2" quotePrefix="1" applyFont="1" applyFill="1" applyBorder="1" applyAlignment="1">
      <alignment horizontal="left" vertical="top" wrapText="1"/>
    </xf>
    <xf numFmtId="0" fontId="9" fillId="8" borderId="1" xfId="3" applyFont="1" applyFill="1" applyBorder="1" applyAlignment="1">
      <alignment horizontal="left" vertical="center"/>
    </xf>
    <xf numFmtId="0" fontId="3" fillId="8" borderId="1" xfId="0" quotePrefix="1" applyFont="1" applyFill="1" applyBorder="1" applyAlignment="1"/>
    <xf numFmtId="0" fontId="5" fillId="8" borderId="1" xfId="4" applyFont="1" applyFill="1" applyBorder="1" applyAlignment="1">
      <alignment horizontal="left" vertical="center"/>
    </xf>
    <xf numFmtId="0" fontId="5" fillId="8" borderId="1" xfId="5" applyFont="1" applyFill="1" applyBorder="1" applyAlignment="1">
      <alignment horizontal="left" vertical="center"/>
    </xf>
    <xf numFmtId="0" fontId="5" fillId="8" borderId="1" xfId="6" applyFont="1" applyFill="1" applyBorder="1" applyAlignment="1">
      <alignment horizontal="left" vertical="center"/>
    </xf>
    <xf numFmtId="176" fontId="2" fillId="5" borderId="2" xfId="0" applyNumberFormat="1" applyFont="1" applyFill="1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9" fillId="0" borderId="7" xfId="0" applyFont="1" applyFill="1" applyBorder="1" applyAlignment="1">
      <alignment horizontal="center" vertical="center"/>
    </xf>
    <xf numFmtId="0" fontId="26" fillId="4" borderId="1" xfId="0" applyNumberFormat="1" applyFont="1" applyFill="1" applyBorder="1" applyAlignment="1">
      <alignment horizontal="center"/>
    </xf>
    <xf numFmtId="180" fontId="2" fillId="0" borderId="1" xfId="0" applyNumberFormat="1" applyFont="1" applyBorder="1"/>
    <xf numFmtId="180" fontId="2" fillId="5" borderId="2" xfId="0" applyNumberFormat="1" applyFont="1" applyFill="1" applyBorder="1"/>
    <xf numFmtId="179" fontId="2" fillId="5" borderId="2" xfId="0" applyNumberFormat="1" applyFont="1" applyFill="1" applyBorder="1"/>
    <xf numFmtId="179" fontId="2" fillId="0" borderId="1" xfId="0" applyNumberFormat="1" applyFont="1" applyBorder="1"/>
    <xf numFmtId="181" fontId="2" fillId="0" borderId="1" xfId="0" applyNumberFormat="1" applyFont="1" applyBorder="1"/>
    <xf numFmtId="183" fontId="2" fillId="0" borderId="1" xfId="0" applyNumberFormat="1" applyFont="1" applyBorder="1"/>
    <xf numFmtId="183" fontId="2" fillId="5" borderId="2" xfId="0" applyNumberFormat="1" applyFont="1" applyFill="1" applyBorder="1"/>
    <xf numFmtId="184" fontId="2" fillId="5" borderId="2" xfId="0" applyNumberFormat="1" applyFont="1" applyFill="1" applyBorder="1"/>
    <xf numFmtId="185" fontId="2" fillId="0" borderId="1" xfId="0" applyNumberFormat="1" applyFont="1" applyBorder="1"/>
    <xf numFmtId="181" fontId="2" fillId="5" borderId="2" xfId="0" applyNumberFormat="1" applyFont="1" applyFill="1" applyBorder="1"/>
    <xf numFmtId="185" fontId="2" fillId="5" borderId="2" xfId="0" applyNumberFormat="1" applyFont="1" applyFill="1" applyBorder="1"/>
    <xf numFmtId="1" fontId="2" fillId="5" borderId="2" xfId="0" applyNumberFormat="1" applyFont="1" applyFill="1" applyBorder="1"/>
    <xf numFmtId="0" fontId="2" fillId="8" borderId="5" xfId="0" applyFont="1" applyFill="1" applyBorder="1"/>
    <xf numFmtId="0" fontId="2" fillId="4" borderId="1" xfId="0" applyFont="1" applyFill="1" applyBorder="1"/>
    <xf numFmtId="0" fontId="9" fillId="0" borderId="1" xfId="3" applyNumberFormat="1" applyFont="1" applyFill="1" applyBorder="1" applyAlignment="1">
      <alignment horizontal="center" vertical="center"/>
    </xf>
    <xf numFmtId="0" fontId="9" fillId="0" borderId="1" xfId="4" applyNumberFormat="1" applyFont="1" applyFill="1" applyBorder="1" applyAlignment="1">
      <alignment horizontal="center" vertical="center"/>
    </xf>
    <xf numFmtId="0" fontId="9" fillId="0" borderId="1" xfId="5" applyNumberFormat="1" applyFont="1" applyFill="1" applyBorder="1" applyAlignment="1">
      <alignment horizontal="center" vertical="center"/>
    </xf>
    <xf numFmtId="0" fontId="9" fillId="0" borderId="1" xfId="6" applyNumberFormat="1" applyFont="1" applyFill="1" applyBorder="1" applyAlignment="1">
      <alignment horizontal="center" vertical="center"/>
    </xf>
    <xf numFmtId="0" fontId="9" fillId="0" borderId="1" xfId="8" applyNumberFormat="1" applyFont="1" applyFill="1" applyBorder="1" applyAlignment="1">
      <alignment horizontal="center" vertical="center"/>
    </xf>
    <xf numFmtId="0" fontId="9" fillId="0" borderId="7" xfId="10" applyNumberFormat="1" applyFont="1" applyFill="1" applyBorder="1" applyAlignment="1">
      <alignment horizontal="center" vertical="center"/>
    </xf>
    <xf numFmtId="0" fontId="9" fillId="0" borderId="1" xfId="10" applyNumberFormat="1" applyFont="1" applyFill="1" applyBorder="1" applyAlignment="1">
      <alignment horizontal="center" vertical="center"/>
    </xf>
    <xf numFmtId="0" fontId="9" fillId="0" borderId="1" xfId="12" applyNumberFormat="1" applyFont="1" applyFill="1" applyBorder="1" applyAlignment="1">
      <alignment horizontal="center" vertical="center"/>
    </xf>
    <xf numFmtId="0" fontId="9" fillId="0" borderId="1" xfId="14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Border="1" applyAlignment="1">
      <alignment horizontal="center"/>
    </xf>
    <xf numFmtId="0" fontId="9" fillId="0" borderId="1" xfId="15" applyNumberFormat="1" applyFont="1" applyFill="1" applyBorder="1" applyAlignment="1">
      <alignment horizontal="center" vertical="center"/>
    </xf>
    <xf numFmtId="0" fontId="11" fillId="0" borderId="1" xfId="0" applyNumberFormat="1" applyFont="1" applyBorder="1" applyAlignment="1">
      <alignment horizontal="center" vertical="center"/>
    </xf>
    <xf numFmtId="0" fontId="9" fillId="0" borderId="1" xfId="1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1" applyNumberFormat="1" applyFont="1" applyFill="1" applyBorder="1" applyAlignment="1">
      <alignment horizontal="center"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1" applyNumberFormat="1" applyFont="1" applyBorder="1" applyAlignment="1">
      <alignment horizontal="center" vertical="center"/>
    </xf>
    <xf numFmtId="186" fontId="2" fillId="0" borderId="1" xfId="1" applyNumberFormat="1" applyFont="1" applyBorder="1" applyAlignment="1">
      <alignment vertical="center"/>
    </xf>
    <xf numFmtId="2" fontId="2" fillId="5" borderId="2" xfId="0" applyNumberFormat="1" applyFont="1" applyFill="1" applyBorder="1"/>
    <xf numFmtId="2" fontId="2" fillId="0" borderId="1" xfId="0" applyNumberFormat="1" applyFont="1" applyBorder="1"/>
    <xf numFmtId="188" fontId="2" fillId="5" borderId="2" xfId="0" applyNumberFormat="1" applyFont="1" applyFill="1" applyBorder="1"/>
    <xf numFmtId="0" fontId="26" fillId="4" borderId="1" xfId="0" applyNumberFormat="1" applyFont="1" applyFill="1" applyBorder="1" applyAlignment="1">
      <alignment horizontal="center" vertical="center"/>
    </xf>
    <xf numFmtId="187" fontId="2" fillId="0" borderId="1" xfId="0" applyNumberFormat="1" applyFont="1" applyBorder="1"/>
    <xf numFmtId="0" fontId="5" fillId="0" borderId="5" xfId="0" applyNumberFormat="1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 wrapText="1"/>
    </xf>
    <xf numFmtId="0" fontId="5" fillId="0" borderId="5" xfId="0" applyFont="1" applyFill="1" applyBorder="1" applyAlignment="1">
      <alignment horizontal="center" vertical="center" wrapText="1"/>
    </xf>
    <xf numFmtId="0" fontId="5" fillId="0" borderId="5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178" fontId="5" fillId="0" borderId="5" xfId="1" applyNumberFormat="1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84" fontId="2" fillId="0" borderId="1" xfId="0" applyNumberFormat="1" applyFont="1" applyBorder="1"/>
    <xf numFmtId="189" fontId="2" fillId="0" borderId="1" xfId="0" applyNumberFormat="1" applyFont="1" applyBorder="1"/>
    <xf numFmtId="190" fontId="29" fillId="4" borderId="0" xfId="16" applyFont="1" applyFill="1" applyAlignment="1">
      <alignment vertical="center"/>
    </xf>
    <xf numFmtId="190" fontId="29" fillId="4" borderId="0" xfId="16" applyFont="1" applyFill="1" applyAlignment="1">
      <alignment horizontal="center" vertical="center"/>
    </xf>
    <xf numFmtId="190" fontId="29" fillId="0" borderId="0" xfId="16" applyFont="1" applyAlignment="1">
      <alignment vertical="center"/>
    </xf>
    <xf numFmtId="0" fontId="2" fillId="0" borderId="0" xfId="8" applyFont="1">
      <alignment vertical="center"/>
    </xf>
    <xf numFmtId="190" fontId="30" fillId="4" borderId="0" xfId="16" applyFont="1" applyFill="1" applyAlignment="1">
      <alignment vertical="center"/>
    </xf>
    <xf numFmtId="190" fontId="30" fillId="4" borderId="0" xfId="16" applyFont="1" applyFill="1" applyAlignment="1">
      <alignment horizontal="left" vertical="center"/>
    </xf>
    <xf numFmtId="190" fontId="31" fillId="4" borderId="0" xfId="16" applyFont="1" applyFill="1" applyAlignment="1">
      <alignment horizontal="left" vertical="center"/>
    </xf>
    <xf numFmtId="190" fontId="29" fillId="0" borderId="0" xfId="16" applyFont="1" applyAlignment="1">
      <alignment horizontal="center" vertical="center"/>
    </xf>
    <xf numFmtId="190" fontId="29" fillId="0" borderId="0" xfId="16" applyFont="1" applyAlignment="1">
      <alignment horizontal="left" vertical="center"/>
    </xf>
    <xf numFmtId="190" fontId="29" fillId="0" borderId="0" xfId="16" applyFont="1" applyAlignment="1">
      <alignment horizontal="right" vertical="center"/>
    </xf>
    <xf numFmtId="190" fontId="29" fillId="0" borderId="0" xfId="16" applyFont="1" applyAlignment="1">
      <alignment horizontal="right" vertical="center"/>
    </xf>
    <xf numFmtId="190" fontId="31" fillId="4" borderId="15" xfId="16" applyFont="1" applyFill="1" applyBorder="1" applyAlignment="1">
      <alignment vertical="center"/>
    </xf>
    <xf numFmtId="190" fontId="31" fillId="4" borderId="16" xfId="16" applyFont="1" applyFill="1" applyBorder="1" applyAlignment="1">
      <alignment vertical="center"/>
    </xf>
    <xf numFmtId="190" fontId="31" fillId="4" borderId="17" xfId="16" applyFont="1" applyFill="1" applyBorder="1" applyAlignment="1">
      <alignment vertical="center"/>
    </xf>
    <xf numFmtId="190" fontId="33" fillId="4" borderId="21" xfId="16" applyFont="1" applyFill="1" applyBorder="1" applyAlignment="1">
      <alignment horizontal="center" vertical="center"/>
    </xf>
    <xf numFmtId="190" fontId="33" fillId="4" borderId="10" xfId="16" applyFont="1" applyFill="1" applyBorder="1" applyAlignment="1">
      <alignment horizontal="center" vertical="center"/>
    </xf>
    <xf numFmtId="190" fontId="31" fillId="4" borderId="25" xfId="16" applyFont="1" applyFill="1" applyBorder="1" applyAlignment="1">
      <alignment horizontal="center" vertical="center"/>
    </xf>
    <xf numFmtId="190" fontId="31" fillId="4" borderId="7" xfId="16" applyFont="1" applyFill="1" applyBorder="1" applyAlignment="1">
      <alignment horizontal="center" vertical="center"/>
    </xf>
    <xf numFmtId="190" fontId="31" fillId="4" borderId="7" xfId="18" applyFont="1" applyFill="1" applyBorder="1" applyAlignment="1">
      <alignment horizontal="center" vertical="center"/>
    </xf>
    <xf numFmtId="190" fontId="31" fillId="4" borderId="15" xfId="18" applyFont="1" applyFill="1" applyBorder="1" applyAlignment="1">
      <alignment horizontal="center" vertical="center"/>
    </xf>
    <xf numFmtId="26" fontId="31" fillId="4" borderId="15" xfId="18" applyNumberFormat="1" applyFont="1" applyFill="1" applyBorder="1" applyAlignment="1">
      <alignment horizontal="center" vertical="center"/>
    </xf>
    <xf numFmtId="26" fontId="31" fillId="4" borderId="7" xfId="18" applyNumberFormat="1" applyFont="1" applyFill="1" applyBorder="1" applyAlignment="1">
      <alignment horizontal="center" vertical="center"/>
    </xf>
    <xf numFmtId="26" fontId="31" fillId="4" borderId="26" xfId="18" applyNumberFormat="1" applyFont="1" applyFill="1" applyBorder="1" applyAlignment="1">
      <alignment horizontal="center" vertical="center"/>
    </xf>
    <xf numFmtId="49" fontId="5" fillId="4" borderId="25" xfId="16" applyNumberFormat="1" applyFont="1" applyFill="1" applyBorder="1" applyAlignment="1">
      <alignment horizontal="center" vertical="center"/>
    </xf>
    <xf numFmtId="190" fontId="5" fillId="4" borderId="7" xfId="16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93" fontId="5" fillId="4" borderId="7" xfId="1" applyNumberFormat="1" applyFont="1" applyFill="1" applyBorder="1" applyAlignment="1">
      <alignment horizontal="center" vertical="center"/>
    </xf>
    <xf numFmtId="190" fontId="5" fillId="4" borderId="7" xfId="18" applyFont="1" applyFill="1" applyBorder="1" applyAlignment="1">
      <alignment horizontal="center" vertical="center"/>
    </xf>
    <xf numFmtId="194" fontId="5" fillId="4" borderId="7" xfId="18" applyNumberFormat="1" applyFont="1" applyFill="1" applyBorder="1" applyAlignment="1">
      <alignment horizontal="center" vertical="center"/>
    </xf>
    <xf numFmtId="195" fontId="5" fillId="4" borderId="7" xfId="18" applyNumberFormat="1" applyFont="1" applyFill="1" applyBorder="1" applyAlignment="1">
      <alignment horizontal="center" vertical="center"/>
    </xf>
    <xf numFmtId="26" fontId="5" fillId="4" borderId="7" xfId="18" applyNumberFormat="1" applyFont="1" applyFill="1" applyBorder="1" applyAlignment="1">
      <alignment horizontal="center" vertical="center"/>
    </xf>
    <xf numFmtId="26" fontId="5" fillId="4" borderId="27" xfId="18" applyNumberFormat="1" applyFont="1" applyFill="1" applyBorder="1" applyAlignment="1">
      <alignment horizontal="center" vertical="center"/>
    </xf>
    <xf numFmtId="196" fontId="5" fillId="4" borderId="1" xfId="16" applyNumberFormat="1" applyFont="1" applyFill="1" applyBorder="1" applyAlignment="1">
      <alignment horizontal="center" vertical="center"/>
    </xf>
    <xf numFmtId="9" fontId="5" fillId="4" borderId="28" xfId="19" applyNumberFormat="1" applyFont="1" applyFill="1" applyBorder="1" applyAlignment="1">
      <alignment horizontal="center" vertical="center" wrapText="1"/>
    </xf>
    <xf numFmtId="196" fontId="5" fillId="4" borderId="5" xfId="16" applyNumberFormat="1" applyFont="1" applyFill="1" applyBorder="1" applyAlignment="1">
      <alignment horizontal="center" vertical="center"/>
    </xf>
    <xf numFmtId="9" fontId="5" fillId="4" borderId="29" xfId="19" applyNumberFormat="1" applyFont="1" applyFill="1" applyBorder="1" applyAlignment="1">
      <alignment horizontal="center" vertical="center" wrapText="1"/>
    </xf>
    <xf numFmtId="190" fontId="5" fillId="4" borderId="1" xfId="16" applyFont="1" applyFill="1" applyBorder="1" applyAlignment="1">
      <alignment vertical="center" wrapText="1"/>
    </xf>
    <xf numFmtId="190" fontId="5" fillId="4" borderId="1" xfId="16" applyFont="1" applyFill="1" applyBorder="1" applyAlignment="1">
      <alignment horizontal="center" vertical="center" wrapText="1"/>
    </xf>
    <xf numFmtId="38" fontId="35" fillId="4" borderId="29" xfId="17" applyNumberFormat="1" applyFont="1" applyFill="1" applyBorder="1" applyAlignment="1">
      <alignment horizontal="center" vertical="center"/>
    </xf>
    <xf numFmtId="191" fontId="29" fillId="4" borderId="0" xfId="20" applyFont="1" applyFill="1" applyAlignment="1">
      <alignment horizontal="right" vertical="center"/>
    </xf>
    <xf numFmtId="190" fontId="29" fillId="4" borderId="0" xfId="16" applyFont="1" applyFill="1" applyAlignment="1">
      <alignment horizontal="left" vertical="center"/>
    </xf>
    <xf numFmtId="26" fontId="29" fillId="4" borderId="0" xfId="16" applyNumberFormat="1" applyFont="1" applyFill="1" applyAlignment="1">
      <alignment vertical="center"/>
    </xf>
    <xf numFmtId="191" fontId="31" fillId="4" borderId="0" xfId="17" applyFont="1" applyFill="1" applyAlignment="1">
      <alignment vertical="center"/>
    </xf>
    <xf numFmtId="191" fontId="29" fillId="4" borderId="0" xfId="17" applyFont="1" applyFill="1" applyAlignment="1">
      <alignment horizontal="left" vertical="center"/>
    </xf>
    <xf numFmtId="191" fontId="29" fillId="4" borderId="0" xfId="17" applyFont="1" applyFill="1" applyAlignment="1">
      <alignment vertical="center"/>
    </xf>
    <xf numFmtId="191" fontId="29" fillId="4" borderId="0" xfId="17" applyFont="1" applyFill="1" applyAlignment="1">
      <alignment horizontal="center" vertical="center"/>
    </xf>
    <xf numFmtId="26" fontId="29" fillId="4" borderId="0" xfId="17" applyNumberFormat="1" applyFont="1" applyFill="1" applyAlignment="1">
      <alignment vertical="center"/>
    </xf>
    <xf numFmtId="191" fontId="29" fillId="0" borderId="0" xfId="17" applyFont="1" applyAlignment="1">
      <alignment vertical="center"/>
    </xf>
    <xf numFmtId="191" fontId="19" fillId="4" borderId="0" xfId="17" applyFont="1" applyFill="1" applyAlignment="1">
      <alignment vertical="center"/>
    </xf>
    <xf numFmtId="191" fontId="33" fillId="4" borderId="10" xfId="17" applyFont="1" applyFill="1" applyBorder="1" applyAlignment="1">
      <alignment vertical="center"/>
    </xf>
    <xf numFmtId="26" fontId="33" fillId="4" borderId="10" xfId="17" applyNumberFormat="1" applyFont="1" applyFill="1" applyBorder="1" applyAlignment="1">
      <alignment vertical="center"/>
    </xf>
    <xf numFmtId="191" fontId="29" fillId="4" borderId="10" xfId="17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0" fontId="0" fillId="0" borderId="0" xfId="0" applyBorder="1"/>
    <xf numFmtId="49" fontId="5" fillId="4" borderId="7" xfId="16" applyNumberFormat="1" applyFont="1" applyFill="1" applyBorder="1" applyAlignment="1">
      <alignment horizontal="center" vertical="center"/>
    </xf>
    <xf numFmtId="0" fontId="5" fillId="4" borderId="7" xfId="16" applyNumberFormat="1" applyFont="1" applyFill="1" applyBorder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5" fillId="0" borderId="5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0" fillId="0" borderId="0" xfId="0" applyFont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/>
    </xf>
    <xf numFmtId="0" fontId="17" fillId="3" borderId="3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190" fontId="29" fillId="0" borderId="0" xfId="16" applyFont="1" applyAlignment="1">
      <alignment horizontal="right" vertical="center"/>
    </xf>
    <xf numFmtId="190" fontId="29" fillId="0" borderId="10" xfId="16" applyFont="1" applyBorder="1" applyAlignment="1">
      <alignment horizontal="right" vertical="center"/>
    </xf>
    <xf numFmtId="190" fontId="19" fillId="4" borderId="11" xfId="16" applyFont="1" applyFill="1" applyBorder="1" applyAlignment="1">
      <alignment horizontal="center" vertical="center"/>
    </xf>
    <xf numFmtId="190" fontId="19" fillId="4" borderId="18" xfId="16" applyFont="1" applyFill="1" applyBorder="1" applyAlignment="1">
      <alignment horizontal="center" vertical="center"/>
    </xf>
    <xf numFmtId="190" fontId="19" fillId="4" borderId="12" xfId="16" applyFont="1" applyFill="1" applyBorder="1" applyAlignment="1">
      <alignment horizontal="center" vertical="center"/>
    </xf>
    <xf numFmtId="190" fontId="19" fillId="4" borderId="0" xfId="16" applyFont="1" applyFill="1" applyAlignment="1">
      <alignment horizontal="center" vertical="center"/>
    </xf>
    <xf numFmtId="26" fontId="31" fillId="4" borderId="13" xfId="16" applyNumberFormat="1" applyFont="1" applyFill="1" applyBorder="1" applyAlignment="1">
      <alignment horizontal="center" vertical="center"/>
    </xf>
    <xf numFmtId="26" fontId="31" fillId="4" borderId="14" xfId="16" applyNumberFormat="1" applyFont="1" applyFill="1" applyBorder="1" applyAlignment="1">
      <alignment horizontal="center" vertical="center"/>
    </xf>
    <xf numFmtId="190" fontId="31" fillId="4" borderId="19" xfId="16" applyFont="1" applyFill="1" applyBorder="1" applyAlignment="1">
      <alignment horizontal="center" vertical="center"/>
    </xf>
    <xf numFmtId="190" fontId="31" fillId="4" borderId="1" xfId="16" applyFont="1" applyFill="1" applyBorder="1" applyAlignment="1">
      <alignment horizontal="center" vertical="center"/>
    </xf>
    <xf numFmtId="191" fontId="33" fillId="0" borderId="2" xfId="17" applyFont="1" applyBorder="1" applyAlignment="1">
      <alignment horizontal="left" vertical="center"/>
    </xf>
    <xf numFmtId="191" fontId="33" fillId="0" borderId="3" xfId="17" applyFont="1" applyBorder="1" applyAlignment="1">
      <alignment horizontal="left" vertical="center"/>
    </xf>
    <xf numFmtId="191" fontId="33" fillId="0" borderId="20" xfId="17" applyFont="1" applyBorder="1" applyAlignment="1">
      <alignment horizontal="left" vertical="center"/>
    </xf>
    <xf numFmtId="190" fontId="30" fillId="4" borderId="31" xfId="16" applyFont="1" applyFill="1" applyBorder="1" applyAlignment="1">
      <alignment horizontal="left" vertical="center"/>
    </xf>
    <xf numFmtId="190" fontId="30" fillId="4" borderId="32" xfId="16" applyFont="1" applyFill="1" applyBorder="1" applyAlignment="1">
      <alignment horizontal="left" vertical="center"/>
    </xf>
    <xf numFmtId="190" fontId="30" fillId="4" borderId="33" xfId="16" applyFont="1" applyFill="1" applyBorder="1" applyAlignment="1">
      <alignment horizontal="left" vertical="center"/>
    </xf>
    <xf numFmtId="190" fontId="29" fillId="4" borderId="0" xfId="16" applyFont="1" applyFill="1" applyAlignment="1">
      <alignment horizontal="right" vertical="center"/>
    </xf>
    <xf numFmtId="190" fontId="33" fillId="4" borderId="10" xfId="16" applyFont="1" applyFill="1" applyBorder="1" applyAlignment="1">
      <alignment horizontal="left" vertical="center"/>
    </xf>
    <xf numFmtId="26" fontId="31" fillId="4" borderId="22" xfId="16" applyNumberFormat="1" applyFont="1" applyFill="1" applyBorder="1" applyAlignment="1">
      <alignment horizontal="center" vertical="center"/>
    </xf>
    <xf numFmtId="26" fontId="31" fillId="4" borderId="23" xfId="16" applyNumberFormat="1" applyFont="1" applyFill="1" applyBorder="1" applyAlignment="1">
      <alignment horizontal="center" vertical="center"/>
    </xf>
    <xf numFmtId="190" fontId="31" fillId="4" borderId="23" xfId="16" applyFont="1" applyFill="1" applyBorder="1" applyAlignment="1">
      <alignment horizontal="left" vertical="center"/>
    </xf>
    <xf numFmtId="190" fontId="31" fillId="4" borderId="24" xfId="16" applyFont="1" applyFill="1" applyBorder="1" applyAlignment="1">
      <alignment horizontal="left" vertical="center"/>
    </xf>
    <xf numFmtId="190" fontId="35" fillId="4" borderId="30" xfId="16" applyFont="1" applyFill="1" applyBorder="1" applyAlignment="1">
      <alignment horizontal="center" vertical="center"/>
    </xf>
    <xf numFmtId="190" fontId="35" fillId="4" borderId="5" xfId="16" applyFont="1" applyFill="1" applyBorder="1" applyAlignment="1">
      <alignment horizontal="center" vertical="center"/>
    </xf>
    <xf numFmtId="197" fontId="35" fillId="4" borderId="5" xfId="16" applyNumberFormat="1" applyFont="1" applyFill="1" applyBorder="1" applyAlignment="1">
      <alignment horizontal="center" vertical="center"/>
    </xf>
    <xf numFmtId="26" fontId="35" fillId="4" borderId="5" xfId="16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7" fillId="0" borderId="0" xfId="0" applyFont="1" applyAlignment="1">
      <alignment horizontal="left" vertical="top"/>
    </xf>
    <xf numFmtId="0" fontId="17" fillId="0" borderId="8" xfId="0" applyFont="1" applyBorder="1" applyAlignment="1">
      <alignment horizontal="left" vertical="top"/>
    </xf>
    <xf numFmtId="0" fontId="14" fillId="3" borderId="2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8" fillId="3" borderId="3" xfId="0" applyFont="1" applyFill="1" applyBorder="1" applyAlignment="1">
      <alignment horizontal="center"/>
    </xf>
    <xf numFmtId="0" fontId="18" fillId="3" borderId="4" xfId="0" applyFont="1" applyFill="1" applyBorder="1" applyAlignment="1">
      <alignment horizontal="center"/>
    </xf>
    <xf numFmtId="178" fontId="3" fillId="0" borderId="5" xfId="1" applyNumberFormat="1" applyFont="1" applyFill="1" applyBorder="1" applyAlignment="1">
      <alignment horizontal="center" vertical="center" wrapText="1"/>
    </xf>
    <xf numFmtId="178" fontId="3" fillId="0" borderId="7" xfId="1" applyNumberFormat="1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0" fontId="9" fillId="0" borderId="5" xfId="0" applyNumberFormat="1" applyFont="1" applyFill="1" applyBorder="1" applyAlignment="1">
      <alignment horizontal="center" vertical="center"/>
    </xf>
    <xf numFmtId="0" fontId="9" fillId="0" borderId="6" xfId="0" applyNumberFormat="1" applyFont="1" applyFill="1" applyBorder="1" applyAlignment="1">
      <alignment horizontal="center" vertical="center"/>
    </xf>
    <xf numFmtId="0" fontId="9" fillId="0" borderId="7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left" vertical="top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0" fillId="0" borderId="5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9" fillId="0" borderId="5" xfId="3" applyFont="1" applyFill="1" applyBorder="1" applyAlignment="1">
      <alignment horizontal="left" vertical="center"/>
    </xf>
    <xf numFmtId="0" fontId="9" fillId="0" borderId="6" xfId="3" applyFont="1" applyFill="1" applyBorder="1" applyAlignment="1">
      <alignment horizontal="left" vertical="center"/>
    </xf>
    <xf numFmtId="0" fontId="9" fillId="0" borderId="7" xfId="3" applyFont="1" applyFill="1" applyBorder="1" applyAlignment="1">
      <alignment horizontal="left" vertical="center"/>
    </xf>
  </cellXfs>
  <cellStyles count="21">
    <cellStyle name="Comma [0] 2" xfId="20" xr:uid="{5AFAFF4B-F81A-48C1-AE7D-D129DE69A579}"/>
    <cellStyle name="Normal 11" xfId="3" xr:uid="{00000000-0005-0000-0000-000000000000}"/>
    <cellStyle name="Normal 12" xfId="4" xr:uid="{00000000-0005-0000-0000-000001000000}"/>
    <cellStyle name="Normal 13" xfId="5" xr:uid="{00000000-0005-0000-0000-000002000000}"/>
    <cellStyle name="Normal 14" xfId="6" xr:uid="{00000000-0005-0000-0000-000003000000}"/>
    <cellStyle name="Normal 15" xfId="2" xr:uid="{00000000-0005-0000-0000-000004000000}"/>
    <cellStyle name="Normal 2" xfId="8" xr:uid="{00000000-0005-0000-0000-000005000000}"/>
    <cellStyle name="Normal 3" xfId="7" xr:uid="{00000000-0005-0000-0000-000006000000}"/>
    <cellStyle name="Normal 4" xfId="10" xr:uid="{00000000-0005-0000-0000-000007000000}"/>
    <cellStyle name="Normal 5" xfId="9" xr:uid="{00000000-0005-0000-0000-000008000000}"/>
    <cellStyle name="Normal 6" xfId="12" xr:uid="{00000000-0005-0000-0000-000009000000}"/>
    <cellStyle name="Normal 7" xfId="11" xr:uid="{00000000-0005-0000-0000-00000A000000}"/>
    <cellStyle name="Normal 8" xfId="14" xr:uid="{00000000-0005-0000-0000-00000B000000}"/>
    <cellStyle name="Normal 9" xfId="13" xr:uid="{00000000-0005-0000-0000-00000C000000}"/>
    <cellStyle name="常规 5" xfId="17" xr:uid="{90C77800-DF46-4A3E-899D-46C785A51796}"/>
    <cellStyle name="常规_Sheet1" xfId="16" xr:uid="{2EC89C6E-561A-4290-A5D2-19506AE20F37}"/>
    <cellStyle name="常规_Sheet1 3" xfId="18" xr:uid="{6CA50747-274A-4D9D-B7EF-385BACC49BCD}"/>
    <cellStyle name="쉼표" xfId="1" builtinId="3"/>
    <cellStyle name="千位分隔 4" xfId="19" xr:uid="{4CA767E6-EA31-429A-8C16-9672B4ACE119}"/>
    <cellStyle name="표준" xfId="0" builtinId="0"/>
    <cellStyle name="표준 2" xfId="15" xr:uid="{00000000-0005-0000-0000-00000F000000}"/>
  </cellStyles>
  <dxfs count="8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0</xdr:row>
      <xdr:rowOff>104775</xdr:rowOff>
    </xdr:from>
    <xdr:to>
      <xdr:col>5</xdr:col>
      <xdr:colOff>1000124</xdr:colOff>
      <xdr:row>3</xdr:row>
      <xdr:rowOff>85724</xdr:rowOff>
    </xdr:to>
    <xdr:sp macro="" textlink="">
      <xdr:nvSpPr>
        <xdr:cNvPr id="2" name="Text Box 5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242060" y="104775"/>
          <a:ext cx="4749164" cy="643889"/>
        </a:xfrm>
        <a:prstGeom prst="rect">
          <a:avLst/>
        </a:prstGeom>
        <a:noFill/>
        <a:ln>
          <a:noFill/>
        </a:ln>
      </xdr:spPr>
      <xdr:txBody>
        <a:bodyPr vertOverflow="clip" wrap="square" lIns="54864" tIns="45720" rIns="0" bIns="0" anchor="t" upright="1"/>
        <a:lstStyle/>
        <a:p>
          <a:pPr algn="ctr" rtl="0">
            <a:defRPr sz="1000"/>
          </a:pPr>
          <a:r>
            <a:rPr lang="en-US" altLang="zh-CN" sz="26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PURCHASE ORDER</a:t>
          </a:r>
        </a:p>
      </xdr:txBody>
    </xdr:sp>
    <xdr:clientData/>
  </xdr:twoCellAnchor>
  <xdr:twoCellAnchor>
    <xdr:from>
      <xdr:col>2</xdr:col>
      <xdr:colOff>314323</xdr:colOff>
      <xdr:row>2</xdr:row>
      <xdr:rowOff>123823</xdr:rowOff>
    </xdr:from>
    <xdr:to>
      <xdr:col>6</xdr:col>
      <xdr:colOff>3809</xdr:colOff>
      <xdr:row>2</xdr:row>
      <xdr:rowOff>169542</xdr:rowOff>
    </xdr:to>
    <xdr:grpSp>
      <xdr:nvGrpSpPr>
        <xdr:cNvPr id="3" name="Group 58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>
          <a:grpSpLocks/>
        </xdr:cNvGrpSpPr>
      </xdr:nvGrpSpPr>
      <xdr:grpSpPr bwMode="auto">
        <a:xfrm rot="10800000">
          <a:off x="1655443" y="565783"/>
          <a:ext cx="5290186" cy="45719"/>
          <a:chOff x="153" y="38"/>
          <a:chExt cx="327" cy="4"/>
        </a:xfrm>
      </xdr:grpSpPr>
      <xdr:sp macro="" textlink="">
        <xdr:nvSpPr>
          <xdr:cNvPr id="4" name="Line 59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153" y="38"/>
            <a:ext cx="32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60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53" y="42"/>
            <a:ext cx="327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0</xdr:row>
      <xdr:rowOff>104775</xdr:rowOff>
    </xdr:from>
    <xdr:to>
      <xdr:col>5</xdr:col>
      <xdr:colOff>1000124</xdr:colOff>
      <xdr:row>3</xdr:row>
      <xdr:rowOff>85724</xdr:rowOff>
    </xdr:to>
    <xdr:sp macro="" textlink="">
      <xdr:nvSpPr>
        <xdr:cNvPr id="6" name="Text Box 5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1242060" y="104775"/>
          <a:ext cx="4749164" cy="643889"/>
        </a:xfrm>
        <a:prstGeom prst="rect">
          <a:avLst/>
        </a:prstGeom>
        <a:noFill/>
        <a:ln>
          <a:noFill/>
        </a:ln>
      </xdr:spPr>
      <xdr:txBody>
        <a:bodyPr vertOverflow="clip" wrap="square" lIns="54864" tIns="45720" rIns="0" bIns="0" anchor="t" upright="1"/>
        <a:lstStyle/>
        <a:p>
          <a:pPr algn="ctr" rtl="0">
            <a:defRPr sz="1000"/>
          </a:pPr>
          <a:r>
            <a:rPr lang="en-US" altLang="zh-CN" sz="26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PURCHASE ORDER</a:t>
          </a:r>
        </a:p>
      </xdr:txBody>
    </xdr:sp>
    <xdr:clientData/>
  </xdr:twoCellAnchor>
  <xdr:twoCellAnchor>
    <xdr:from>
      <xdr:col>2</xdr:col>
      <xdr:colOff>314323</xdr:colOff>
      <xdr:row>2</xdr:row>
      <xdr:rowOff>123823</xdr:rowOff>
    </xdr:from>
    <xdr:to>
      <xdr:col>6</xdr:col>
      <xdr:colOff>3809</xdr:colOff>
      <xdr:row>2</xdr:row>
      <xdr:rowOff>169542</xdr:rowOff>
    </xdr:to>
    <xdr:grpSp>
      <xdr:nvGrpSpPr>
        <xdr:cNvPr id="7" name="Group 58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 rot="10800000">
          <a:off x="1655443" y="565783"/>
          <a:ext cx="6349366" cy="45719"/>
          <a:chOff x="153" y="38"/>
          <a:chExt cx="327" cy="4"/>
        </a:xfrm>
      </xdr:grpSpPr>
      <xdr:sp macro="" textlink="">
        <xdr:nvSpPr>
          <xdr:cNvPr id="8" name="Line 59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53" y="38"/>
            <a:ext cx="32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" name="Line 60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153" y="42"/>
            <a:ext cx="327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0</xdr:row>
      <xdr:rowOff>104775</xdr:rowOff>
    </xdr:from>
    <xdr:to>
      <xdr:col>5</xdr:col>
      <xdr:colOff>1000124</xdr:colOff>
      <xdr:row>3</xdr:row>
      <xdr:rowOff>85724</xdr:rowOff>
    </xdr:to>
    <xdr:sp macro="" textlink="">
      <xdr:nvSpPr>
        <xdr:cNvPr id="2" name="Text Box 5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1242060" y="104775"/>
          <a:ext cx="6113144" cy="643889"/>
        </a:xfrm>
        <a:prstGeom prst="rect">
          <a:avLst/>
        </a:prstGeom>
        <a:noFill/>
        <a:ln>
          <a:noFill/>
        </a:ln>
      </xdr:spPr>
      <xdr:txBody>
        <a:bodyPr vertOverflow="clip" wrap="square" lIns="54864" tIns="45720" rIns="0" bIns="0" anchor="t" upright="1"/>
        <a:lstStyle/>
        <a:p>
          <a:pPr algn="ctr" rtl="0">
            <a:defRPr sz="1000"/>
          </a:pPr>
          <a:r>
            <a:rPr lang="en-US" altLang="zh-CN" sz="26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PURCHASE ORDER</a:t>
          </a:r>
        </a:p>
      </xdr:txBody>
    </xdr:sp>
    <xdr:clientData/>
  </xdr:twoCellAnchor>
  <xdr:twoCellAnchor>
    <xdr:from>
      <xdr:col>2</xdr:col>
      <xdr:colOff>314323</xdr:colOff>
      <xdr:row>2</xdr:row>
      <xdr:rowOff>123823</xdr:rowOff>
    </xdr:from>
    <xdr:to>
      <xdr:col>6</xdr:col>
      <xdr:colOff>3809</xdr:colOff>
      <xdr:row>2</xdr:row>
      <xdr:rowOff>169542</xdr:rowOff>
    </xdr:to>
    <xdr:grpSp>
      <xdr:nvGrpSpPr>
        <xdr:cNvPr id="3" name="Group 58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 rot="10800000">
          <a:off x="1655443" y="565783"/>
          <a:ext cx="6349366" cy="45719"/>
          <a:chOff x="153" y="38"/>
          <a:chExt cx="327" cy="4"/>
        </a:xfrm>
      </xdr:grpSpPr>
      <xdr:sp macro="" textlink="">
        <xdr:nvSpPr>
          <xdr:cNvPr id="4" name="Line 59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153" y="38"/>
            <a:ext cx="32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60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53" y="42"/>
            <a:ext cx="327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7620</xdr:colOff>
          <xdr:row>11</xdr:row>
          <xdr:rowOff>0</xdr:rowOff>
        </xdr:to>
        <xdr:sp macro="" textlink="">
          <xdr:nvSpPr>
            <xdr:cNvPr id="4097" name="Confirm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Confirm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185799</xdr:colOff>
      <xdr:row>0</xdr:row>
      <xdr:rowOff>99953</xdr:rowOff>
    </xdr:from>
    <xdr:to>
      <xdr:col>7</xdr:col>
      <xdr:colOff>404314</xdr:colOff>
      <xdr:row>18</xdr:row>
      <xdr:rowOff>175715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676276" y="-390524"/>
          <a:ext cx="3504762" cy="4485715"/>
        </a:xfrm>
        <a:prstGeom prst="rect">
          <a:avLst/>
        </a:prstGeom>
      </xdr:spPr>
    </xdr:pic>
    <xdr:clientData/>
  </xdr:twoCellAnchor>
  <xdr:twoCellAnchor>
    <xdr:from>
      <xdr:col>1</xdr:col>
      <xdr:colOff>409575</xdr:colOff>
      <xdr:row>16</xdr:row>
      <xdr:rowOff>152400</xdr:rowOff>
    </xdr:from>
    <xdr:to>
      <xdr:col>3</xdr:col>
      <xdr:colOff>38100</xdr:colOff>
      <xdr:row>18</xdr:row>
      <xdr:rowOff>66675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>
        <a:xfrm>
          <a:off x="1019175" y="3200400"/>
          <a:ext cx="847725" cy="2952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</a:t>
          </a:r>
          <a:r>
            <a:rPr lang="en-US" sz="1100" baseline="0"/>
            <a:t> Dây Cord</a:t>
          </a:r>
          <a:endParaRPr lang="en-US" sz="1100"/>
        </a:p>
      </xdr:txBody>
    </xdr:sp>
    <xdr:clientData/>
  </xdr:twoCellAnchor>
  <xdr:twoCellAnchor>
    <xdr:from>
      <xdr:col>1</xdr:col>
      <xdr:colOff>571502</xdr:colOff>
      <xdr:row>13</xdr:row>
      <xdr:rowOff>142876</xdr:rowOff>
    </xdr:from>
    <xdr:to>
      <xdr:col>2</xdr:col>
      <xdr:colOff>85725</xdr:colOff>
      <xdr:row>17</xdr:row>
      <xdr:rowOff>9525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/>
      </xdr:nvCxnSpPr>
      <xdr:spPr>
        <a:xfrm flipH="1" flipV="1">
          <a:off x="1181102" y="2619376"/>
          <a:ext cx="123823" cy="628649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66675</xdr:colOff>
      <xdr:row>9</xdr:row>
      <xdr:rowOff>47624</xdr:rowOff>
    </xdr:from>
    <xdr:to>
      <xdr:col>1</xdr:col>
      <xdr:colOff>509526</xdr:colOff>
      <xdr:row>10</xdr:row>
      <xdr:rowOff>166627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66675" y="1762124"/>
          <a:ext cx="1052451" cy="309503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</a:t>
          </a:r>
          <a:r>
            <a:rPr lang="en-US" sz="1100" baseline="0"/>
            <a:t> PIN (PLUG)</a:t>
          </a:r>
          <a:endParaRPr lang="en-US" sz="1100"/>
        </a:p>
      </xdr:txBody>
    </xdr:sp>
    <xdr:clientData/>
  </xdr:twoCellAnchor>
  <xdr:twoCellAnchor>
    <xdr:from>
      <xdr:col>0</xdr:col>
      <xdr:colOff>352425</xdr:colOff>
      <xdr:row>10</xdr:row>
      <xdr:rowOff>114300</xdr:rowOff>
    </xdr:from>
    <xdr:to>
      <xdr:col>0</xdr:col>
      <xdr:colOff>457200</xdr:colOff>
      <xdr:row>15</xdr:row>
      <xdr:rowOff>9525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CxnSpPr/>
      </xdr:nvCxnSpPr>
      <xdr:spPr>
        <a:xfrm flipH="1">
          <a:off x="352425" y="2019300"/>
          <a:ext cx="104775" cy="847725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76200</xdr:colOff>
      <xdr:row>19</xdr:row>
      <xdr:rowOff>9525</xdr:rowOff>
    </xdr:from>
    <xdr:to>
      <xdr:col>1</xdr:col>
      <xdr:colOff>152400</xdr:colOff>
      <xdr:row>20</xdr:row>
      <xdr:rowOff>47625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76200" y="3629025"/>
          <a:ext cx="685800" cy="2857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</a:t>
          </a:r>
          <a:r>
            <a:rPr lang="en-US" sz="1100" baseline="0"/>
            <a:t> CAP</a:t>
          </a:r>
          <a:endParaRPr lang="en-US" sz="1100"/>
        </a:p>
      </xdr:txBody>
    </xdr:sp>
    <xdr:clientData/>
  </xdr:twoCellAnchor>
  <xdr:twoCellAnchor>
    <xdr:from>
      <xdr:col>0</xdr:col>
      <xdr:colOff>395349</xdr:colOff>
      <xdr:row>16</xdr:row>
      <xdr:rowOff>14228</xdr:rowOff>
    </xdr:from>
    <xdr:to>
      <xdr:col>0</xdr:col>
      <xdr:colOff>519172</xdr:colOff>
      <xdr:row>19</xdr:row>
      <xdr:rowOff>71377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CxnSpPr/>
      </xdr:nvCxnSpPr>
      <xdr:spPr>
        <a:xfrm flipH="1" flipV="1">
          <a:off x="395349" y="3062228"/>
          <a:ext cx="123823" cy="628649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271524</xdr:colOff>
      <xdr:row>4</xdr:row>
      <xdr:rowOff>152399</xdr:rowOff>
    </xdr:from>
    <xdr:to>
      <xdr:col>3</xdr:col>
      <xdr:colOff>95250</xdr:colOff>
      <xdr:row>6</xdr:row>
      <xdr:rowOff>61852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881124" y="914399"/>
          <a:ext cx="1042926" cy="290453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4.</a:t>
          </a:r>
          <a:r>
            <a:rPr lang="en-US" sz="1100" baseline="0"/>
            <a:t> Tie (Binder)</a:t>
          </a:r>
          <a:endParaRPr lang="en-US" sz="1100"/>
        </a:p>
      </xdr:txBody>
    </xdr:sp>
    <xdr:clientData/>
  </xdr:twoCellAnchor>
  <xdr:twoCellAnchor>
    <xdr:from>
      <xdr:col>4</xdr:col>
      <xdr:colOff>233424</xdr:colOff>
      <xdr:row>16</xdr:row>
      <xdr:rowOff>157103</xdr:rowOff>
    </xdr:from>
    <xdr:to>
      <xdr:col>5</xdr:col>
      <xdr:colOff>295275</xdr:colOff>
      <xdr:row>18</xdr:row>
      <xdr:rowOff>9525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2671824" y="3205103"/>
          <a:ext cx="671451" cy="23342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5.</a:t>
          </a:r>
          <a:r>
            <a:rPr lang="en-US" sz="1100" baseline="0"/>
            <a:t> Slider</a:t>
          </a:r>
          <a:endParaRPr lang="en-US" sz="1100"/>
        </a:p>
      </xdr:txBody>
    </xdr:sp>
    <xdr:clientData/>
  </xdr:twoCellAnchor>
  <xdr:twoCellAnchor>
    <xdr:from>
      <xdr:col>3</xdr:col>
      <xdr:colOff>376298</xdr:colOff>
      <xdr:row>3</xdr:row>
      <xdr:rowOff>109478</xdr:rowOff>
    </xdr:from>
    <xdr:to>
      <xdr:col>5</xdr:col>
      <xdr:colOff>552449</xdr:colOff>
      <xdr:row>4</xdr:row>
      <xdr:rowOff>180975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2205098" y="680978"/>
          <a:ext cx="1395351" cy="26199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10.</a:t>
          </a:r>
          <a:r>
            <a:rPr lang="en-US" sz="1100" baseline="0"/>
            <a:t> Rear Housing R</a:t>
          </a:r>
          <a:endParaRPr lang="en-US" sz="1100"/>
        </a:p>
      </xdr:txBody>
    </xdr:sp>
    <xdr:clientData/>
  </xdr:twoCellAnchor>
  <xdr:twoCellAnchor>
    <xdr:from>
      <xdr:col>6</xdr:col>
      <xdr:colOff>252474</xdr:colOff>
      <xdr:row>16</xdr:row>
      <xdr:rowOff>133349</xdr:rowOff>
    </xdr:from>
    <xdr:to>
      <xdr:col>8</xdr:col>
      <xdr:colOff>9525</xdr:colOff>
      <xdr:row>18</xdr:row>
      <xdr:rowOff>23752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3910074" y="3181349"/>
          <a:ext cx="976251" cy="271403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6. Button</a:t>
          </a:r>
        </a:p>
      </xdr:txBody>
    </xdr:sp>
    <xdr:clientData/>
  </xdr:twoCellAnchor>
  <xdr:twoCellAnchor>
    <xdr:from>
      <xdr:col>2</xdr:col>
      <xdr:colOff>147703</xdr:colOff>
      <xdr:row>6</xdr:row>
      <xdr:rowOff>61852</xdr:rowOff>
    </xdr:from>
    <xdr:to>
      <xdr:col>2</xdr:col>
      <xdr:colOff>183387</xdr:colOff>
      <xdr:row>9</xdr:row>
      <xdr:rowOff>80903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CxnSpPr>
          <a:stCxn id="83" idx="2"/>
        </xdr:cNvCxnSpPr>
      </xdr:nvCxnSpPr>
      <xdr:spPr>
        <a:xfrm flipH="1">
          <a:off x="1366903" y="1204852"/>
          <a:ext cx="35684" cy="590551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447676</xdr:colOff>
      <xdr:row>15</xdr:row>
      <xdr:rowOff>85725</xdr:rowOff>
    </xdr:from>
    <xdr:to>
      <xdr:col>4</xdr:col>
      <xdr:colOff>323850</xdr:colOff>
      <xdr:row>17</xdr:row>
      <xdr:rowOff>19050</xdr:rowOff>
    </xdr:to>
    <xdr:cxnSp macro="">
      <xdr:nvCxnSpPr>
        <xdr:cNvPr id="95" name="Straight Arrow Connector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CxnSpPr/>
      </xdr:nvCxnSpPr>
      <xdr:spPr>
        <a:xfrm flipH="1" flipV="1">
          <a:off x="2276476" y="2943225"/>
          <a:ext cx="485774" cy="314325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338199</xdr:colOff>
      <xdr:row>13</xdr:row>
      <xdr:rowOff>76200</xdr:rowOff>
    </xdr:from>
    <xdr:to>
      <xdr:col>6</xdr:col>
      <xdr:colOff>514350</xdr:colOff>
      <xdr:row>16</xdr:row>
      <xdr:rowOff>171450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/>
      </xdr:nvCxnSpPr>
      <xdr:spPr>
        <a:xfrm flipH="1" flipV="1">
          <a:off x="3995799" y="2552700"/>
          <a:ext cx="176151" cy="666750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14</xdr:row>
      <xdr:rowOff>0</xdr:rowOff>
    </xdr:from>
    <xdr:to>
      <xdr:col>9</xdr:col>
      <xdr:colOff>366651</xdr:colOff>
      <xdr:row>15</xdr:row>
      <xdr:rowOff>80903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>
        <a:xfrm>
          <a:off x="4876800" y="2667000"/>
          <a:ext cx="976251" cy="271403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7.</a:t>
          </a:r>
          <a:r>
            <a:rPr lang="en-US" sz="1100" baseline="0"/>
            <a:t> Case Front</a:t>
          </a:r>
          <a:endParaRPr lang="en-US" sz="1100"/>
        </a:p>
      </xdr:txBody>
    </xdr:sp>
    <xdr:clientData/>
  </xdr:twoCellAnchor>
  <xdr:twoCellAnchor>
    <xdr:from>
      <xdr:col>7</xdr:col>
      <xdr:colOff>19051</xdr:colOff>
      <xdr:row>13</xdr:row>
      <xdr:rowOff>9525</xdr:rowOff>
    </xdr:from>
    <xdr:to>
      <xdr:col>8</xdr:col>
      <xdr:colOff>171450</xdr:colOff>
      <xdr:row>14</xdr:row>
      <xdr:rowOff>28575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CxnSpPr/>
      </xdr:nvCxnSpPr>
      <xdr:spPr>
        <a:xfrm flipH="1" flipV="1">
          <a:off x="4286251" y="2486025"/>
          <a:ext cx="761999" cy="209550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295276</xdr:colOff>
      <xdr:row>9</xdr:row>
      <xdr:rowOff>9524</xdr:rowOff>
    </xdr:from>
    <xdr:to>
      <xdr:col>9</xdr:col>
      <xdr:colOff>28576</xdr:colOff>
      <xdr:row>10</xdr:row>
      <xdr:rowOff>76200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SpPr/>
      </xdr:nvSpPr>
      <xdr:spPr>
        <a:xfrm>
          <a:off x="4562476" y="1724024"/>
          <a:ext cx="952500" cy="2571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8.</a:t>
          </a:r>
          <a:r>
            <a:rPr lang="en-US" sz="1100" baseline="0"/>
            <a:t> Case Rear</a:t>
          </a:r>
          <a:endParaRPr lang="en-US" sz="1100"/>
        </a:p>
      </xdr:txBody>
    </xdr:sp>
    <xdr:clientData/>
  </xdr:twoCellAnchor>
  <xdr:twoCellAnchor>
    <xdr:from>
      <xdr:col>6</xdr:col>
      <xdr:colOff>514350</xdr:colOff>
      <xdr:row>9</xdr:row>
      <xdr:rowOff>147637</xdr:rowOff>
    </xdr:from>
    <xdr:to>
      <xdr:col>7</xdr:col>
      <xdr:colOff>352426</xdr:colOff>
      <xdr:row>12</xdr:row>
      <xdr:rowOff>85725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CxnSpPr/>
      </xdr:nvCxnSpPr>
      <xdr:spPr>
        <a:xfrm flipH="1">
          <a:off x="4171950" y="1862137"/>
          <a:ext cx="447676" cy="509588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152400</xdr:colOff>
      <xdr:row>11</xdr:row>
      <xdr:rowOff>47625</xdr:rowOff>
    </xdr:from>
    <xdr:to>
      <xdr:col>9</xdr:col>
      <xdr:colOff>519051</xdr:colOff>
      <xdr:row>12</xdr:row>
      <xdr:rowOff>128528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SpPr/>
      </xdr:nvSpPr>
      <xdr:spPr>
        <a:xfrm>
          <a:off x="5029200" y="2143125"/>
          <a:ext cx="976251" cy="271403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9.</a:t>
          </a:r>
          <a:r>
            <a:rPr lang="en-US" sz="1100" baseline="0"/>
            <a:t> PBA ASSY</a:t>
          </a:r>
          <a:endParaRPr lang="en-US" sz="1100"/>
        </a:p>
      </xdr:txBody>
    </xdr:sp>
    <xdr:clientData/>
  </xdr:twoCellAnchor>
  <xdr:twoCellAnchor>
    <xdr:from>
      <xdr:col>7</xdr:col>
      <xdr:colOff>9526</xdr:colOff>
      <xdr:row>11</xdr:row>
      <xdr:rowOff>183327</xdr:rowOff>
    </xdr:from>
    <xdr:to>
      <xdr:col>8</xdr:col>
      <xdr:colOff>152400</xdr:colOff>
      <xdr:row>12</xdr:row>
      <xdr:rowOff>114300</xdr:rowOff>
    </xdr:to>
    <xdr:cxnSp macro="">
      <xdr:nvCxnSpPr>
        <xdr:cNvPr id="108" name="Straight Arrow Connector 107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CxnSpPr>
          <a:stCxn id="107" idx="1"/>
        </xdr:cNvCxnSpPr>
      </xdr:nvCxnSpPr>
      <xdr:spPr>
        <a:xfrm flipH="1">
          <a:off x="4276726" y="2278827"/>
          <a:ext cx="752474" cy="121473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204848</xdr:colOff>
      <xdr:row>4</xdr:row>
      <xdr:rowOff>66675</xdr:rowOff>
    </xdr:from>
    <xdr:to>
      <xdr:col>4</xdr:col>
      <xdr:colOff>257175</xdr:colOff>
      <xdr:row>8</xdr:row>
      <xdr:rowOff>47566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CxnSpPr/>
      </xdr:nvCxnSpPr>
      <xdr:spPr>
        <a:xfrm flipH="1">
          <a:off x="2643248" y="828675"/>
          <a:ext cx="52327" cy="742891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500124</xdr:colOff>
      <xdr:row>5</xdr:row>
      <xdr:rowOff>138053</xdr:rowOff>
    </xdr:from>
    <xdr:to>
      <xdr:col>8</xdr:col>
      <xdr:colOff>66675</xdr:colOff>
      <xdr:row>7</xdr:row>
      <xdr:rowOff>19050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SpPr/>
      </xdr:nvSpPr>
      <xdr:spPr>
        <a:xfrm>
          <a:off x="3548124" y="1090553"/>
          <a:ext cx="1395351" cy="26199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11.</a:t>
          </a:r>
          <a:r>
            <a:rPr lang="en-US" sz="1100" baseline="0"/>
            <a:t> Rear Housing L</a:t>
          </a:r>
          <a:endParaRPr lang="en-US" sz="1100"/>
        </a:p>
      </xdr:txBody>
    </xdr:sp>
    <xdr:clientData/>
  </xdr:twoCellAnchor>
  <xdr:twoCellAnchor>
    <xdr:from>
      <xdr:col>5</xdr:col>
      <xdr:colOff>395350</xdr:colOff>
      <xdr:row>6</xdr:row>
      <xdr:rowOff>47625</xdr:rowOff>
    </xdr:from>
    <xdr:to>
      <xdr:col>6</xdr:col>
      <xdr:colOff>304800</xdr:colOff>
      <xdr:row>10</xdr:row>
      <xdr:rowOff>176094</xdr:rowOff>
    </xdr:to>
    <xdr:cxnSp macro="">
      <xdr:nvCxnSpPr>
        <xdr:cNvPr id="113" name="Straight Arrow Connector 112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CxnSpPr/>
      </xdr:nvCxnSpPr>
      <xdr:spPr>
        <a:xfrm flipH="1">
          <a:off x="3443350" y="1190625"/>
          <a:ext cx="519050" cy="890469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247651</xdr:colOff>
      <xdr:row>12</xdr:row>
      <xdr:rowOff>0</xdr:rowOff>
    </xdr:from>
    <xdr:to>
      <xdr:col>5</xdr:col>
      <xdr:colOff>438151</xdr:colOff>
      <xdr:row>13</xdr:row>
      <xdr:rowOff>71497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SpPr/>
      </xdr:nvSpPr>
      <xdr:spPr>
        <a:xfrm>
          <a:off x="2686051" y="2286000"/>
          <a:ext cx="800100" cy="26199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12.</a:t>
          </a:r>
          <a:r>
            <a:rPr lang="en-US" sz="1100" baseline="0"/>
            <a:t> MDD L </a:t>
          </a:r>
          <a:endParaRPr lang="en-US" sz="1100"/>
        </a:p>
      </xdr:txBody>
    </xdr:sp>
    <xdr:clientData/>
  </xdr:twoCellAnchor>
  <xdr:twoCellAnchor>
    <xdr:from>
      <xdr:col>5</xdr:col>
      <xdr:colOff>47626</xdr:colOff>
      <xdr:row>10</xdr:row>
      <xdr:rowOff>152400</xdr:rowOff>
    </xdr:from>
    <xdr:to>
      <xdr:col>5</xdr:col>
      <xdr:colOff>257175</xdr:colOff>
      <xdr:row>12</xdr:row>
      <xdr:rowOff>38100</xdr:rowOff>
    </xdr:to>
    <xdr:cxnSp macro="">
      <xdr:nvCxnSpPr>
        <xdr:cNvPr id="116" name="Straight Arrow Connector 115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CxnSpPr/>
      </xdr:nvCxnSpPr>
      <xdr:spPr>
        <a:xfrm flipV="1">
          <a:off x="3095626" y="2057400"/>
          <a:ext cx="209549" cy="266700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228600</xdr:colOff>
      <xdr:row>10</xdr:row>
      <xdr:rowOff>9524</xdr:rowOff>
    </xdr:from>
    <xdr:to>
      <xdr:col>4</xdr:col>
      <xdr:colOff>438150</xdr:colOff>
      <xdr:row>11</xdr:row>
      <xdr:rowOff>85725</xdr:rowOff>
    </xdr:to>
    <xdr:sp macro="" textlink="">
      <xdr:nvSpPr>
        <xdr:cNvPr id="119" name="Rectangle 118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SpPr/>
      </xdr:nvSpPr>
      <xdr:spPr>
        <a:xfrm>
          <a:off x="2057400" y="1914524"/>
          <a:ext cx="819150" cy="26670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13.</a:t>
          </a:r>
          <a:r>
            <a:rPr lang="en-US" sz="1100" baseline="0"/>
            <a:t> MDD R</a:t>
          </a:r>
          <a:endParaRPr lang="en-US" sz="1100"/>
        </a:p>
      </xdr:txBody>
    </xdr:sp>
    <xdr:clientData/>
  </xdr:twoCellAnchor>
  <xdr:twoCellAnchor>
    <xdr:from>
      <xdr:col>4</xdr:col>
      <xdr:colOff>133350</xdr:colOff>
      <xdr:row>8</xdr:row>
      <xdr:rowOff>123824</xdr:rowOff>
    </xdr:from>
    <xdr:to>
      <xdr:col>4</xdr:col>
      <xdr:colOff>342899</xdr:colOff>
      <xdr:row>10</xdr:row>
      <xdr:rowOff>9524</xdr:rowOff>
    </xdr:to>
    <xdr:cxnSp macro="">
      <xdr:nvCxnSpPr>
        <xdr:cNvPr id="120" name="Straight Arrow Connector 119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CxnSpPr/>
      </xdr:nvCxnSpPr>
      <xdr:spPr>
        <a:xfrm flipV="1">
          <a:off x="2571750" y="1647824"/>
          <a:ext cx="209549" cy="266700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</xdr:row>
      <xdr:rowOff>171450</xdr:rowOff>
    </xdr:from>
    <xdr:to>
      <xdr:col>7</xdr:col>
      <xdr:colOff>400050</xdr:colOff>
      <xdr:row>3</xdr:row>
      <xdr:rowOff>52447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SpPr/>
      </xdr:nvSpPr>
      <xdr:spPr>
        <a:xfrm>
          <a:off x="3000375" y="361950"/>
          <a:ext cx="1666875" cy="26199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14.</a:t>
          </a:r>
          <a:r>
            <a:rPr lang="en-US" sz="1100" baseline="0"/>
            <a:t> EAR PIECE M (BLACK)</a:t>
          </a:r>
          <a:endParaRPr lang="en-US" sz="1100"/>
        </a:p>
      </xdr:txBody>
    </xdr:sp>
    <xdr:clientData/>
  </xdr:twoCellAnchor>
  <xdr:twoCellAnchor>
    <xdr:from>
      <xdr:col>4</xdr:col>
      <xdr:colOff>485775</xdr:colOff>
      <xdr:row>2</xdr:row>
      <xdr:rowOff>171450</xdr:rowOff>
    </xdr:from>
    <xdr:to>
      <xdr:col>6</xdr:col>
      <xdr:colOff>99950</xdr:colOff>
      <xdr:row>9</xdr:row>
      <xdr:rowOff>0</xdr:rowOff>
    </xdr:to>
    <xdr:cxnSp macro="">
      <xdr:nvCxnSpPr>
        <xdr:cNvPr id="122" name="Straight Arrow Connector 121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CxnSpPr/>
      </xdr:nvCxnSpPr>
      <xdr:spPr>
        <a:xfrm flipH="1">
          <a:off x="2924175" y="552450"/>
          <a:ext cx="833375" cy="1162050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2</xdr:row>
      <xdr:rowOff>171450</xdr:rowOff>
    </xdr:from>
    <xdr:to>
      <xdr:col>6</xdr:col>
      <xdr:colOff>95250</xdr:colOff>
      <xdr:row>9</xdr:row>
      <xdr:rowOff>161925</xdr:rowOff>
    </xdr:to>
    <xdr:cxnSp macro="">
      <xdr:nvCxnSpPr>
        <xdr:cNvPr id="124" name="Straight Arrow Connector 123"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CxnSpPr/>
      </xdr:nvCxnSpPr>
      <xdr:spPr>
        <a:xfrm flipH="1">
          <a:off x="3209925" y="552450"/>
          <a:ext cx="542925" cy="1323975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219074</xdr:colOff>
      <xdr:row>26</xdr:row>
      <xdr:rowOff>76200</xdr:rowOff>
    </xdr:from>
    <xdr:to>
      <xdr:col>21</xdr:col>
      <xdr:colOff>190500</xdr:colOff>
      <xdr:row>27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3801724" y="5086350"/>
          <a:ext cx="1800226" cy="2667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PC 301-22+ 91246 (BLACK)</a:t>
          </a:r>
        </a:p>
      </xdr:txBody>
    </xdr:sp>
    <xdr:clientData/>
  </xdr:twoCellAnchor>
  <xdr:twoCellAnchor>
    <xdr:from>
      <xdr:col>17</xdr:col>
      <xdr:colOff>266700</xdr:colOff>
      <xdr:row>27</xdr:row>
      <xdr:rowOff>47625</xdr:rowOff>
    </xdr:from>
    <xdr:to>
      <xdr:col>18</xdr:col>
      <xdr:colOff>342900</xdr:colOff>
      <xdr:row>28</xdr:row>
      <xdr:rowOff>133350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 flipH="1">
          <a:off x="13239750" y="5248275"/>
          <a:ext cx="685800" cy="276225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104775</xdr:colOff>
      <xdr:row>31</xdr:row>
      <xdr:rowOff>114300</xdr:rowOff>
    </xdr:from>
    <xdr:to>
      <xdr:col>19</xdr:col>
      <xdr:colOff>542925</xdr:colOff>
      <xdr:row>33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3077825" y="6076950"/>
          <a:ext cx="1657350" cy="2667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ABS 920 + 91247 (BLACK)</a:t>
          </a:r>
        </a:p>
      </xdr:txBody>
    </xdr:sp>
    <xdr:clientData/>
  </xdr:twoCellAnchor>
  <xdr:twoCellAnchor>
    <xdr:from>
      <xdr:col>17</xdr:col>
      <xdr:colOff>38100</xdr:colOff>
      <xdr:row>29</xdr:row>
      <xdr:rowOff>0</xdr:rowOff>
    </xdr:from>
    <xdr:to>
      <xdr:col>17</xdr:col>
      <xdr:colOff>304800</xdr:colOff>
      <xdr:row>31</xdr:row>
      <xdr:rowOff>171451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CxnSpPr/>
      </xdr:nvCxnSpPr>
      <xdr:spPr>
        <a:xfrm flipH="1" flipV="1">
          <a:off x="13011150" y="5581650"/>
          <a:ext cx="266700" cy="552451"/>
        </a:xfrm>
        <a:prstGeom prst="straightConnector1">
          <a:avLst/>
        </a:prstGeom>
        <a:ln>
          <a:solidFill>
            <a:srgbClr val="FFFF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28576</xdr:colOff>
      <xdr:row>7</xdr:row>
      <xdr:rowOff>95250</xdr:rowOff>
    </xdr:from>
    <xdr:to>
      <xdr:col>17</xdr:col>
      <xdr:colOff>314327</xdr:colOff>
      <xdr:row>16</xdr:row>
      <xdr:rowOff>54050</xdr:rowOff>
    </xdr:to>
    <xdr:pic>
      <xdr:nvPicPr>
        <xdr:cNvPr id="37" name="Picture 380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 rot="16200000">
          <a:off x="11393452" y="1208124"/>
          <a:ext cx="1673300" cy="211455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485774</xdr:colOff>
      <xdr:row>22</xdr:row>
      <xdr:rowOff>152400</xdr:rowOff>
    </xdr:from>
    <xdr:to>
      <xdr:col>7</xdr:col>
      <xdr:colOff>387236</xdr:colOff>
      <xdr:row>39</xdr:row>
      <xdr:rowOff>95250</xdr:rowOff>
    </xdr:to>
    <xdr:pic>
      <xdr:nvPicPr>
        <xdr:cNvPr id="38" name="图片 10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85774" y="4400550"/>
          <a:ext cx="4168662" cy="3181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12</xdr:col>
      <xdr:colOff>1933575</xdr:colOff>
      <xdr:row>30</xdr:row>
      <xdr:rowOff>180975</xdr:rowOff>
    </xdr:from>
    <xdr:to>
      <xdr:col>12</xdr:col>
      <xdr:colOff>2847975</xdr:colOff>
      <xdr:row>33</xdr:row>
      <xdr:rowOff>19049</xdr:rowOff>
    </xdr:to>
    <xdr:sp macro="" textlink="">
      <xdr:nvSpPr>
        <xdr:cNvPr id="5" name="Equal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020175" y="5953125"/>
          <a:ext cx="914400" cy="409574"/>
        </a:xfrm>
        <a:prstGeom prst="mathEqua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8B913F-D780-4093-A193-3D6B2B915F57}" name="표1" displayName="표1" ref="S10:S21" totalsRowShown="0" dataDxfId="7">
  <autoFilter ref="S10:S21" xr:uid="{D7C6BCFD-D5D2-4DC3-BC5F-2AB409DC692C}"/>
  <tableColumns count="1">
    <tableColumn id="1" xr3:uid="{103FA924-FDAD-4CD2-BBF2-7E9241C32B0D}" name="COMPANY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173E47-ECD9-4F0C-A1F0-E3B0E007B430}" name="표2" displayName="표2" ref="Q8:Q22" totalsRowShown="0" dataDxfId="5">
  <autoFilter ref="Q8:Q22" xr:uid="{EC17920E-1C52-4E8B-9221-59B00C7338A2}"/>
  <tableColumns count="1">
    <tableColumn id="1" xr3:uid="{05C79D48-0465-4696-9ABE-A7BDAB1A7D32}" name="COMPANY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2C2483-3FF0-4703-978D-54A24E648F11}" name="표2_4" displayName="표2_4" ref="F161:F175" totalsRowShown="0" dataDxfId="3">
  <autoFilter ref="F161:F175" xr:uid="{A558AF4B-D154-4B8C-9171-4BBE979AF962}"/>
  <tableColumns count="1">
    <tableColumn id="1" xr3:uid="{88874A8E-9065-4D10-A8F5-76D655A01DD4}" name="COMPANY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274"/>
  <sheetViews>
    <sheetView zoomScale="85" zoomScaleNormal="85" workbookViewId="0">
      <pane xSplit="4" ySplit="8" topLeftCell="AI249" activePane="bottomRight" state="frozen"/>
      <selection pane="topRight" activeCell="E1" sqref="E1"/>
      <selection pane="bottomLeft" activeCell="A10" sqref="A10"/>
      <selection pane="bottomRight" activeCell="B116" sqref="B116:D119"/>
    </sheetView>
  </sheetViews>
  <sheetFormatPr defaultColWidth="9.09765625" defaultRowHeight="15" customHeight="1" x14ac:dyDescent="0.25"/>
  <cols>
    <col min="1" max="1" width="5.09765625" style="1" customWidth="1"/>
    <col min="2" max="2" width="13.3984375" style="1" customWidth="1"/>
    <col min="3" max="3" width="15.69921875" style="1" customWidth="1"/>
    <col min="4" max="4" width="28.19921875" style="1" customWidth="1"/>
    <col min="5" max="36" width="8.69921875" style="1" customWidth="1"/>
    <col min="37" max="37" width="5.19921875" style="1" customWidth="1"/>
    <col min="38" max="38" width="11.69921875" style="1" customWidth="1"/>
    <col min="39" max="39" width="9.8984375" style="1" customWidth="1"/>
    <col min="40" max="40" width="14.69921875" style="1" customWidth="1"/>
    <col min="41" max="41" width="14.5" style="1" customWidth="1"/>
    <col min="42" max="42" width="16.3984375" style="1" customWidth="1"/>
    <col min="43" max="43" width="23.3984375" style="1" customWidth="1"/>
    <col min="44" max="45" width="9.09765625" style="1"/>
    <col min="46" max="46" width="10.3984375" style="1" bestFit="1" customWidth="1"/>
    <col min="47" max="16384" width="9.09765625" style="1"/>
  </cols>
  <sheetData>
    <row r="1" spans="1:49" ht="15" customHeight="1" x14ac:dyDescent="0.25">
      <c r="A1" s="265" t="s">
        <v>0</v>
      </c>
      <c r="B1" s="265"/>
      <c r="C1" s="265"/>
      <c r="D1" s="265"/>
      <c r="AS1" s="128"/>
      <c r="AT1" s="270"/>
      <c r="AU1" s="270"/>
      <c r="AV1" s="270"/>
      <c r="AW1" s="270"/>
    </row>
    <row r="2" spans="1:49" ht="15" customHeight="1" x14ac:dyDescent="0.3">
      <c r="A2" s="266" t="s">
        <v>1</v>
      </c>
      <c r="B2" s="266"/>
      <c r="C2" s="266"/>
      <c r="D2" s="266"/>
      <c r="AS2" s="128"/>
      <c r="AT2" s="270"/>
      <c r="AU2" s="270"/>
      <c r="AV2" s="270"/>
      <c r="AW2" s="270"/>
    </row>
    <row r="3" spans="1:49" ht="15" customHeight="1" x14ac:dyDescent="0.25">
      <c r="AS3" s="128"/>
      <c r="AT3" s="270"/>
      <c r="AU3" s="270"/>
      <c r="AV3" s="270"/>
      <c r="AW3" s="270"/>
    </row>
    <row r="5" spans="1:49" ht="15" customHeight="1" x14ac:dyDescent="0.25"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</row>
    <row r="6" spans="1:49" ht="21" customHeight="1" x14ac:dyDescent="0.25">
      <c r="A6" s="279" t="s">
        <v>2</v>
      </c>
      <c r="B6" s="279" t="s">
        <v>3</v>
      </c>
      <c r="C6" s="263" t="s">
        <v>585</v>
      </c>
      <c r="D6" s="263" t="s">
        <v>584</v>
      </c>
      <c r="E6" s="278" t="s">
        <v>541</v>
      </c>
      <c r="F6" s="278"/>
      <c r="G6" s="278"/>
      <c r="H6" s="278"/>
      <c r="I6" s="278"/>
      <c r="J6" s="278"/>
      <c r="K6" s="278"/>
      <c r="L6" s="278"/>
      <c r="M6" s="278"/>
      <c r="N6" s="278"/>
      <c r="O6" s="278"/>
      <c r="P6" s="278"/>
      <c r="Q6" s="278"/>
      <c r="R6" s="278"/>
      <c r="S6" s="278"/>
      <c r="T6" s="278"/>
      <c r="U6" s="278"/>
      <c r="V6" s="278"/>
      <c r="W6" s="278"/>
      <c r="X6" s="278"/>
      <c r="Y6" s="278"/>
      <c r="Z6" s="278"/>
      <c r="AA6" s="278"/>
      <c r="AB6" s="278"/>
      <c r="AC6" s="278"/>
      <c r="AD6" s="278"/>
      <c r="AE6" s="278"/>
      <c r="AF6" s="278"/>
      <c r="AG6" s="278"/>
      <c r="AH6" s="278"/>
      <c r="AI6" s="278"/>
      <c r="AJ6" s="278"/>
      <c r="AL6" s="263" t="s">
        <v>591</v>
      </c>
      <c r="AM6" s="263" t="s">
        <v>596</v>
      </c>
      <c r="AN6" s="263" t="s">
        <v>597</v>
      </c>
      <c r="AO6" s="263" t="s">
        <v>592</v>
      </c>
      <c r="AP6" s="263" t="s">
        <v>593</v>
      </c>
      <c r="AQ6" s="274" t="s">
        <v>583</v>
      </c>
      <c r="AR6" s="19"/>
      <c r="AS6" s="100"/>
      <c r="AT6" s="272" t="s">
        <v>542</v>
      </c>
      <c r="AU6" s="272"/>
      <c r="AV6" s="272"/>
      <c r="AW6" s="272"/>
    </row>
    <row r="7" spans="1:49" ht="33" customHeight="1" x14ac:dyDescent="0.25">
      <c r="A7" s="264"/>
      <c r="B7" s="264"/>
      <c r="C7" s="264"/>
      <c r="D7" s="264"/>
      <c r="E7" s="2" t="s">
        <v>578</v>
      </c>
      <c r="F7" s="2" t="s">
        <v>577</v>
      </c>
      <c r="G7" s="2" t="s">
        <v>5</v>
      </c>
      <c r="H7" s="2" t="s">
        <v>6</v>
      </c>
      <c r="I7" s="2" t="s">
        <v>7</v>
      </c>
      <c r="J7" s="2" t="s">
        <v>8</v>
      </c>
      <c r="K7" s="2" t="s">
        <v>9</v>
      </c>
      <c r="L7" s="2" t="s">
        <v>10</v>
      </c>
      <c r="M7" s="2" t="s">
        <v>11</v>
      </c>
      <c r="N7" s="2" t="s">
        <v>12</v>
      </c>
      <c r="O7" s="2" t="s">
        <v>13</v>
      </c>
      <c r="P7" s="2" t="s">
        <v>14</v>
      </c>
      <c r="Q7" s="2" t="s">
        <v>15</v>
      </c>
      <c r="R7" s="2" t="s">
        <v>16</v>
      </c>
      <c r="S7" s="2" t="s">
        <v>17</v>
      </c>
      <c r="T7" s="2" t="s">
        <v>18</v>
      </c>
      <c r="U7" s="2" t="s">
        <v>19</v>
      </c>
      <c r="V7" s="2" t="s">
        <v>20</v>
      </c>
      <c r="W7" s="2" t="s">
        <v>21</v>
      </c>
      <c r="X7" s="2" t="s">
        <v>22</v>
      </c>
      <c r="Y7" s="2" t="s">
        <v>23</v>
      </c>
      <c r="Z7" s="2" t="s">
        <v>24</v>
      </c>
      <c r="AA7" s="2" t="s">
        <v>25</v>
      </c>
      <c r="AB7" s="2" t="s">
        <v>26</v>
      </c>
      <c r="AC7" s="2" t="s">
        <v>27</v>
      </c>
      <c r="AD7" s="2" t="s">
        <v>28</v>
      </c>
      <c r="AE7" s="2" t="s">
        <v>29</v>
      </c>
      <c r="AF7" s="2" t="s">
        <v>30</v>
      </c>
      <c r="AG7" s="2" t="s">
        <v>31</v>
      </c>
      <c r="AH7" s="2" t="s">
        <v>32</v>
      </c>
      <c r="AI7" s="2" t="s">
        <v>33</v>
      </c>
      <c r="AJ7" s="2" t="s">
        <v>34</v>
      </c>
      <c r="AK7" s="78" t="s">
        <v>35</v>
      </c>
      <c r="AL7" s="264"/>
      <c r="AM7" s="271"/>
      <c r="AN7" s="271"/>
      <c r="AO7" s="271"/>
      <c r="AP7" s="264"/>
      <c r="AQ7" s="275"/>
      <c r="AR7" s="19"/>
      <c r="AS7" s="98"/>
      <c r="AT7" s="273" t="s">
        <v>543</v>
      </c>
      <c r="AU7" s="268"/>
      <c r="AV7" s="268"/>
      <c r="AW7" s="269"/>
    </row>
    <row r="8" spans="1:49" ht="28.8" customHeight="1" x14ac:dyDescent="0.45">
      <c r="A8" s="276" t="s">
        <v>590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277"/>
      <c r="Q8" s="277"/>
      <c r="R8" s="277"/>
      <c r="S8" s="277"/>
      <c r="T8" s="277"/>
      <c r="U8" s="277"/>
      <c r="V8" s="277"/>
      <c r="W8" s="277"/>
      <c r="X8" s="277"/>
      <c r="Y8" s="277"/>
      <c r="Z8" s="277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77"/>
      <c r="AL8" s="277"/>
      <c r="AM8" s="277"/>
      <c r="AN8" s="277"/>
      <c r="AO8" s="277"/>
      <c r="AP8" s="277"/>
      <c r="AQ8" s="277"/>
      <c r="AR8" s="19"/>
      <c r="AS8" s="159"/>
      <c r="AT8" s="267" t="s">
        <v>544</v>
      </c>
      <c r="AU8" s="268"/>
      <c r="AV8" s="268"/>
      <c r="AW8" s="269"/>
    </row>
    <row r="9" spans="1:49" ht="21" customHeight="1" x14ac:dyDescent="0.25">
      <c r="A9" s="184" t="s">
        <v>579</v>
      </c>
      <c r="B9" s="184"/>
      <c r="C9" s="184"/>
      <c r="D9" s="184"/>
      <c r="E9" s="184">
        <v>1</v>
      </c>
      <c r="F9" s="184">
        <v>1</v>
      </c>
      <c r="G9" s="184">
        <v>1</v>
      </c>
      <c r="H9" s="184">
        <v>1</v>
      </c>
      <c r="I9" s="184">
        <v>1</v>
      </c>
      <c r="J9" s="184">
        <v>1</v>
      </c>
      <c r="K9" s="184">
        <v>1</v>
      </c>
      <c r="L9" s="184">
        <v>1</v>
      </c>
      <c r="M9" s="184">
        <v>1</v>
      </c>
      <c r="N9" s="184">
        <v>1</v>
      </c>
      <c r="O9" s="184">
        <v>1</v>
      </c>
      <c r="P9" s="184">
        <v>1</v>
      </c>
      <c r="Q9" s="184">
        <v>1</v>
      </c>
      <c r="R9" s="184">
        <v>1</v>
      </c>
      <c r="S9" s="184">
        <v>1</v>
      </c>
      <c r="T9" s="184">
        <v>1</v>
      </c>
      <c r="U9" s="184">
        <v>1</v>
      </c>
      <c r="V9" s="184">
        <v>1</v>
      </c>
      <c r="W9" s="184">
        <v>1</v>
      </c>
      <c r="X9" s="184">
        <v>1</v>
      </c>
      <c r="Y9" s="184">
        <v>1</v>
      </c>
      <c r="Z9" s="184">
        <v>1</v>
      </c>
      <c r="AA9" s="184">
        <v>1</v>
      </c>
      <c r="AB9" s="184">
        <v>1</v>
      </c>
      <c r="AC9" s="184">
        <v>1</v>
      </c>
      <c r="AD9" s="184">
        <v>1</v>
      </c>
      <c r="AE9" s="184">
        <v>1</v>
      </c>
      <c r="AF9" s="184">
        <v>1</v>
      </c>
      <c r="AG9" s="184">
        <v>1</v>
      </c>
      <c r="AH9" s="184">
        <v>1</v>
      </c>
      <c r="AI9" s="184">
        <v>1</v>
      </c>
      <c r="AJ9" s="184">
        <v>1</v>
      </c>
      <c r="AK9" s="146"/>
      <c r="AL9" s="146"/>
      <c r="AM9" s="146"/>
      <c r="AN9" s="146"/>
      <c r="AO9" s="146"/>
      <c r="AP9" s="146"/>
      <c r="AQ9" s="146"/>
      <c r="AR9" s="19"/>
      <c r="AS9" s="160"/>
      <c r="AT9" s="144"/>
      <c r="AU9" s="143"/>
      <c r="AV9" s="143"/>
      <c r="AW9" s="143"/>
    </row>
    <row r="10" spans="1:49" ht="15" customHeight="1" x14ac:dyDescent="0.25">
      <c r="A10" s="3">
        <v>1</v>
      </c>
      <c r="B10" s="189" t="s">
        <v>575</v>
      </c>
      <c r="C10" s="80" t="s">
        <v>38</v>
      </c>
      <c r="D10" s="81" t="s">
        <v>39</v>
      </c>
      <c r="E10" s="161">
        <f>1*E9</f>
        <v>1</v>
      </c>
      <c r="F10" s="161"/>
      <c r="G10" s="161"/>
      <c r="H10" s="161"/>
      <c r="I10" s="161">
        <f>1*I9</f>
        <v>1</v>
      </c>
      <c r="J10" s="161"/>
      <c r="K10" s="161"/>
      <c r="L10" s="161">
        <f>1*L9</f>
        <v>1</v>
      </c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50" t="s">
        <v>525</v>
      </c>
      <c r="AL10" s="73">
        <v>80000</v>
      </c>
      <c r="AM10" s="63">
        <f>'Import-T7.2019'!F5</f>
        <v>0</v>
      </c>
      <c r="AN10" s="63">
        <f>SUM(E10:AJ10)</f>
        <v>3</v>
      </c>
      <c r="AO10" s="182">
        <f>'NG T7.2019'!F5</f>
        <v>0</v>
      </c>
      <c r="AP10" s="158">
        <f>AL10+AM10-AN10-AO10</f>
        <v>79997</v>
      </c>
      <c r="AQ10" s="250" t="s">
        <v>561</v>
      </c>
      <c r="AR10" s="19"/>
      <c r="AS10" s="19"/>
      <c r="AT10" s="19"/>
    </row>
    <row r="11" spans="1:49" ht="15" customHeight="1" x14ac:dyDescent="0.25">
      <c r="A11" s="3">
        <v>2</v>
      </c>
      <c r="B11" s="189" t="s">
        <v>575</v>
      </c>
      <c r="C11" s="80" t="s">
        <v>40</v>
      </c>
      <c r="D11" s="82" t="s">
        <v>41</v>
      </c>
      <c r="E11" s="162"/>
      <c r="F11" s="162">
        <f>1*F9</f>
        <v>1</v>
      </c>
      <c r="G11" s="162"/>
      <c r="H11" s="162"/>
      <c r="I11" s="162"/>
      <c r="J11" s="162">
        <f>1*J9</f>
        <v>1</v>
      </c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  <c r="AH11" s="162"/>
      <c r="AI11" s="162"/>
      <c r="AJ11" s="162"/>
      <c r="AK11" s="50" t="s">
        <v>525</v>
      </c>
      <c r="AL11" s="73">
        <v>39000</v>
      </c>
      <c r="AM11" s="63">
        <f>'Import-T7.2019'!F6</f>
        <v>0</v>
      </c>
      <c r="AN11" s="63">
        <f t="shared" ref="AN11:AN74" si="0">SUM(E11:AJ11)</f>
        <v>2</v>
      </c>
      <c r="AO11" s="182">
        <f>'NG T7.2019'!F6</f>
        <v>0</v>
      </c>
      <c r="AP11" s="158">
        <f>AL11+AM11-AN11-AO11</f>
        <v>38998</v>
      </c>
      <c r="AQ11" s="250" t="s">
        <v>561</v>
      </c>
    </row>
    <row r="12" spans="1:49" ht="15" customHeight="1" x14ac:dyDescent="0.25">
      <c r="A12" s="3">
        <v>3</v>
      </c>
      <c r="B12" s="189" t="s">
        <v>575</v>
      </c>
      <c r="C12" s="80" t="s">
        <v>42</v>
      </c>
      <c r="D12" s="83" t="s">
        <v>43</v>
      </c>
      <c r="E12" s="163"/>
      <c r="F12" s="163"/>
      <c r="G12" s="163">
        <f>1*G9</f>
        <v>1</v>
      </c>
      <c r="H12" s="163"/>
      <c r="I12" s="163"/>
      <c r="J12" s="163"/>
      <c r="K12" s="163">
        <f>1*K9</f>
        <v>1</v>
      </c>
      <c r="L12" s="163"/>
      <c r="M12" s="163">
        <f>1*M9</f>
        <v>1</v>
      </c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  <c r="AJ12" s="163"/>
      <c r="AK12" s="50" t="s">
        <v>525</v>
      </c>
      <c r="AL12" s="73">
        <v>5000</v>
      </c>
      <c r="AM12" s="63">
        <f>'Import-T7.2019'!F7</f>
        <v>0</v>
      </c>
      <c r="AN12" s="63">
        <f t="shared" si="0"/>
        <v>3</v>
      </c>
      <c r="AO12" s="182">
        <f>'NG T7.2019'!F7</f>
        <v>0</v>
      </c>
      <c r="AP12" s="158">
        <f t="shared" ref="AP12:AP74" si="1">AL12+AM12-AN12-AO12</f>
        <v>4997</v>
      </c>
      <c r="AQ12" s="250" t="s">
        <v>561</v>
      </c>
    </row>
    <row r="13" spans="1:49" ht="15" customHeight="1" x14ac:dyDescent="0.25">
      <c r="A13" s="3">
        <v>4</v>
      </c>
      <c r="B13" s="189" t="s">
        <v>575</v>
      </c>
      <c r="C13" s="80" t="s">
        <v>44</v>
      </c>
      <c r="D13" s="84" t="s">
        <v>45</v>
      </c>
      <c r="E13" s="164"/>
      <c r="F13" s="164"/>
      <c r="G13" s="164"/>
      <c r="H13" s="164">
        <f>1*H9</f>
        <v>1</v>
      </c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  <c r="AK13" s="50" t="s">
        <v>525</v>
      </c>
      <c r="AL13" s="73">
        <v>5000</v>
      </c>
      <c r="AM13" s="63">
        <f>'Import-T7.2019'!F8</f>
        <v>0</v>
      </c>
      <c r="AN13" s="63">
        <f t="shared" si="0"/>
        <v>1</v>
      </c>
      <c r="AO13" s="182">
        <f>'NG T7.2019'!F8</f>
        <v>0</v>
      </c>
      <c r="AP13" s="158">
        <f t="shared" si="1"/>
        <v>4999</v>
      </c>
      <c r="AQ13" s="250" t="s">
        <v>561</v>
      </c>
    </row>
    <row r="14" spans="1:49" ht="15" customHeight="1" x14ac:dyDescent="0.25">
      <c r="A14" s="3">
        <v>5</v>
      </c>
      <c r="B14" s="189" t="s">
        <v>46</v>
      </c>
      <c r="C14" s="80" t="s">
        <v>47</v>
      </c>
      <c r="D14" s="81" t="s">
        <v>39</v>
      </c>
      <c r="E14" s="161"/>
      <c r="F14" s="161"/>
      <c r="G14" s="161"/>
      <c r="H14" s="161"/>
      <c r="I14" s="161"/>
      <c r="J14" s="161"/>
      <c r="K14" s="161"/>
      <c r="L14" s="161"/>
      <c r="M14" s="161"/>
      <c r="N14" s="161">
        <f>1*N9</f>
        <v>1</v>
      </c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50" t="s">
        <v>525</v>
      </c>
      <c r="AL14" s="73">
        <v>43000</v>
      </c>
      <c r="AM14" s="63">
        <f>'Import-T7.2019'!F9</f>
        <v>0</v>
      </c>
      <c r="AN14" s="63">
        <f t="shared" si="0"/>
        <v>1</v>
      </c>
      <c r="AO14" s="182">
        <f>'NG T7.2019'!F9</f>
        <v>0</v>
      </c>
      <c r="AP14" s="158">
        <f t="shared" si="1"/>
        <v>42999</v>
      </c>
      <c r="AQ14" s="250" t="s">
        <v>561</v>
      </c>
    </row>
    <row r="15" spans="1:49" ht="15" customHeight="1" x14ac:dyDescent="0.25">
      <c r="A15" s="3">
        <v>6</v>
      </c>
      <c r="B15" s="189" t="s">
        <v>46</v>
      </c>
      <c r="C15" s="80" t="s">
        <v>48</v>
      </c>
      <c r="D15" s="82" t="s">
        <v>41</v>
      </c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>
        <f>1*O9</f>
        <v>1</v>
      </c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50" t="s">
        <v>525</v>
      </c>
      <c r="AL15" s="73">
        <v>82600</v>
      </c>
      <c r="AM15" s="63">
        <f>'Import-T7.2019'!F10</f>
        <v>0</v>
      </c>
      <c r="AN15" s="63">
        <f t="shared" si="0"/>
        <v>1</v>
      </c>
      <c r="AO15" s="182">
        <f>'NG T7.2019'!F10</f>
        <v>0</v>
      </c>
      <c r="AP15" s="158">
        <f t="shared" si="1"/>
        <v>82599</v>
      </c>
      <c r="AQ15" s="250" t="s">
        <v>561</v>
      </c>
    </row>
    <row r="16" spans="1:49" ht="15" customHeight="1" x14ac:dyDescent="0.25">
      <c r="A16" s="3">
        <v>7</v>
      </c>
      <c r="B16" s="189" t="s">
        <v>46</v>
      </c>
      <c r="C16" s="80" t="s">
        <v>49</v>
      </c>
      <c r="D16" s="83" t="s">
        <v>50</v>
      </c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>
        <f>1*P9</f>
        <v>1</v>
      </c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3"/>
      <c r="AE16" s="163"/>
      <c r="AF16" s="163"/>
      <c r="AG16" s="163"/>
      <c r="AH16" s="163"/>
      <c r="AI16" s="163"/>
      <c r="AJ16" s="163"/>
      <c r="AK16" s="50" t="s">
        <v>525</v>
      </c>
      <c r="AL16" s="73">
        <v>49600</v>
      </c>
      <c r="AM16" s="63">
        <f>'Import-T7.2019'!F11</f>
        <v>0</v>
      </c>
      <c r="AN16" s="63">
        <f t="shared" si="0"/>
        <v>1</v>
      </c>
      <c r="AO16" s="182">
        <f>'NG T7.2019'!F11</f>
        <v>0</v>
      </c>
      <c r="AP16" s="158">
        <f t="shared" si="1"/>
        <v>49599</v>
      </c>
      <c r="AQ16" s="250" t="s">
        <v>561</v>
      </c>
    </row>
    <row r="17" spans="1:43" ht="15" customHeight="1" x14ac:dyDescent="0.25">
      <c r="A17" s="3">
        <v>8</v>
      </c>
      <c r="B17" s="189" t="s">
        <v>46</v>
      </c>
      <c r="C17" s="80" t="s">
        <v>51</v>
      </c>
      <c r="D17" s="83" t="s">
        <v>43</v>
      </c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>
        <f>1*Q9</f>
        <v>1</v>
      </c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50" t="s">
        <v>525</v>
      </c>
      <c r="AL17" s="73">
        <v>56400</v>
      </c>
      <c r="AM17" s="63">
        <f>'Import-T7.2019'!F12</f>
        <v>0</v>
      </c>
      <c r="AN17" s="63">
        <f t="shared" si="0"/>
        <v>1</v>
      </c>
      <c r="AO17" s="182">
        <f>'NG T7.2019'!F12</f>
        <v>0</v>
      </c>
      <c r="AP17" s="158">
        <f t="shared" si="1"/>
        <v>56399</v>
      </c>
      <c r="AQ17" s="250" t="s">
        <v>561</v>
      </c>
    </row>
    <row r="18" spans="1:43" ht="15" customHeight="1" x14ac:dyDescent="0.25">
      <c r="A18" s="3">
        <v>9</v>
      </c>
      <c r="B18" s="189" t="s">
        <v>46</v>
      </c>
      <c r="C18" s="80" t="s">
        <v>52</v>
      </c>
      <c r="D18" s="84" t="s">
        <v>45</v>
      </c>
      <c r="E18" s="164"/>
      <c r="F18" s="164"/>
      <c r="G18" s="16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>
        <f>1*R9</f>
        <v>1</v>
      </c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4"/>
      <c r="AD18" s="164"/>
      <c r="AE18" s="164"/>
      <c r="AF18" s="164"/>
      <c r="AG18" s="164"/>
      <c r="AH18" s="164"/>
      <c r="AI18" s="164"/>
      <c r="AJ18" s="164"/>
      <c r="AK18" s="50" t="s">
        <v>525</v>
      </c>
      <c r="AL18" s="73">
        <v>5600</v>
      </c>
      <c r="AM18" s="63">
        <f>'Import-T7.2019'!F13</f>
        <v>0</v>
      </c>
      <c r="AN18" s="63">
        <f t="shared" si="0"/>
        <v>1</v>
      </c>
      <c r="AO18" s="182">
        <f>'NG T7.2019'!F13</f>
        <v>0</v>
      </c>
      <c r="AP18" s="158">
        <f t="shared" si="1"/>
        <v>5599</v>
      </c>
      <c r="AQ18" s="250" t="s">
        <v>561</v>
      </c>
    </row>
    <row r="19" spans="1:43" ht="15" customHeight="1" x14ac:dyDescent="0.25">
      <c r="A19" s="3">
        <v>10</v>
      </c>
      <c r="B19" s="189" t="s">
        <v>53</v>
      </c>
      <c r="C19" s="80" t="s">
        <v>54</v>
      </c>
      <c r="D19" s="81" t="s">
        <v>39</v>
      </c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>
        <f>1*S9</f>
        <v>1</v>
      </c>
      <c r="T19" s="161"/>
      <c r="U19" s="161"/>
      <c r="V19" s="161"/>
      <c r="W19" s="161"/>
      <c r="X19" s="161">
        <f>1*X9</f>
        <v>1</v>
      </c>
      <c r="Y19" s="161"/>
      <c r="Z19" s="161"/>
      <c r="AA19" s="161"/>
      <c r="AB19" s="161"/>
      <c r="AC19" s="161">
        <f>1*AC9</f>
        <v>1</v>
      </c>
      <c r="AD19" s="161"/>
      <c r="AE19" s="161"/>
      <c r="AF19" s="161"/>
      <c r="AG19" s="161">
        <f>1*AG9</f>
        <v>1</v>
      </c>
      <c r="AH19" s="161"/>
      <c r="AI19" s="161"/>
      <c r="AJ19" s="161"/>
      <c r="AK19" s="50" t="s">
        <v>525</v>
      </c>
      <c r="AL19" s="73">
        <v>18400</v>
      </c>
      <c r="AM19" s="63">
        <f>'Import-T7.2019'!F14</f>
        <v>0</v>
      </c>
      <c r="AN19" s="63">
        <f t="shared" si="0"/>
        <v>4</v>
      </c>
      <c r="AO19" s="182">
        <f>'NG T7.2019'!F14</f>
        <v>0</v>
      </c>
      <c r="AP19" s="158">
        <f t="shared" si="1"/>
        <v>18396</v>
      </c>
      <c r="AQ19" s="250" t="s">
        <v>561</v>
      </c>
    </row>
    <row r="20" spans="1:43" ht="15" customHeight="1" x14ac:dyDescent="0.25">
      <c r="A20" s="3">
        <v>11</v>
      </c>
      <c r="B20" s="189" t="s">
        <v>53</v>
      </c>
      <c r="C20" s="80" t="s">
        <v>55</v>
      </c>
      <c r="D20" s="82" t="s">
        <v>41</v>
      </c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>
        <f>1*T9</f>
        <v>1</v>
      </c>
      <c r="U20" s="162">
        <f t="shared" ref="U20:W20" si="2">1*U9</f>
        <v>1</v>
      </c>
      <c r="V20" s="162">
        <f t="shared" si="2"/>
        <v>1</v>
      </c>
      <c r="W20" s="162">
        <f t="shared" si="2"/>
        <v>1</v>
      </c>
      <c r="X20" s="162"/>
      <c r="Y20" s="162">
        <f>1*Y9</f>
        <v>1</v>
      </c>
      <c r="Z20" s="162">
        <f t="shared" ref="Z20:AA20" si="3">1*Z9</f>
        <v>1</v>
      </c>
      <c r="AA20" s="162">
        <f t="shared" si="3"/>
        <v>1</v>
      </c>
      <c r="AB20" s="162">
        <f>1*AB9</f>
        <v>1</v>
      </c>
      <c r="AC20" s="162"/>
      <c r="AD20" s="162">
        <f>1*AD9</f>
        <v>1</v>
      </c>
      <c r="AE20" s="162">
        <f t="shared" ref="AE20:AJ20" si="4">1*AE9</f>
        <v>1</v>
      </c>
      <c r="AF20" s="162">
        <f t="shared" si="4"/>
        <v>1</v>
      </c>
      <c r="AG20" s="162"/>
      <c r="AH20" s="162">
        <f t="shared" si="4"/>
        <v>1</v>
      </c>
      <c r="AI20" s="162">
        <f t="shared" si="4"/>
        <v>1</v>
      </c>
      <c r="AJ20" s="162">
        <f t="shared" si="4"/>
        <v>1</v>
      </c>
      <c r="AK20" s="50" t="s">
        <v>525</v>
      </c>
      <c r="AL20" s="73">
        <v>900</v>
      </c>
      <c r="AM20" s="63">
        <f>'Import-T7.2019'!F15</f>
        <v>0</v>
      </c>
      <c r="AN20" s="63">
        <f t="shared" si="0"/>
        <v>14</v>
      </c>
      <c r="AO20" s="182">
        <f>'NG T7.2019'!F15</f>
        <v>0</v>
      </c>
      <c r="AP20" s="158">
        <f t="shared" si="1"/>
        <v>886</v>
      </c>
      <c r="AQ20" s="250" t="s">
        <v>561</v>
      </c>
    </row>
    <row r="21" spans="1:43" ht="15" customHeight="1" x14ac:dyDescent="0.25">
      <c r="A21" s="3">
        <v>12</v>
      </c>
      <c r="B21" s="189" t="s">
        <v>56</v>
      </c>
      <c r="C21" s="85" t="s">
        <v>57</v>
      </c>
      <c r="D21" s="86" t="s">
        <v>58</v>
      </c>
      <c r="E21" s="170">
        <f>1*E9</f>
        <v>1</v>
      </c>
      <c r="F21" s="170">
        <f t="shared" ref="F21:M21" si="5">1*F9</f>
        <v>1</v>
      </c>
      <c r="G21" s="170">
        <f t="shared" si="5"/>
        <v>1</v>
      </c>
      <c r="H21" s="170">
        <f t="shared" si="5"/>
        <v>1</v>
      </c>
      <c r="I21" s="170">
        <f t="shared" si="5"/>
        <v>1</v>
      </c>
      <c r="J21" s="170">
        <f t="shared" si="5"/>
        <v>1</v>
      </c>
      <c r="K21" s="170">
        <f t="shared" si="5"/>
        <v>1</v>
      </c>
      <c r="L21" s="170">
        <f t="shared" si="5"/>
        <v>1</v>
      </c>
      <c r="M21" s="170">
        <f t="shared" si="5"/>
        <v>1</v>
      </c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50" t="s">
        <v>525</v>
      </c>
      <c r="AL21" s="73">
        <v>106000</v>
      </c>
      <c r="AM21" s="63">
        <f>'Import-T7.2019'!F16</f>
        <v>0</v>
      </c>
      <c r="AN21" s="63">
        <f t="shared" si="0"/>
        <v>9</v>
      </c>
      <c r="AO21" s="182">
        <f>'NG T7.2019'!F16</f>
        <v>0</v>
      </c>
      <c r="AP21" s="158">
        <f t="shared" si="1"/>
        <v>105991</v>
      </c>
      <c r="AQ21" s="251" t="s">
        <v>551</v>
      </c>
    </row>
    <row r="22" spans="1:43" ht="15" customHeight="1" x14ac:dyDescent="0.25">
      <c r="A22" s="3">
        <v>13</v>
      </c>
      <c r="B22" s="189" t="s">
        <v>56</v>
      </c>
      <c r="C22" s="80" t="s">
        <v>59</v>
      </c>
      <c r="D22" s="86" t="s">
        <v>58</v>
      </c>
      <c r="E22" s="170"/>
      <c r="F22" s="170"/>
      <c r="G22" s="170"/>
      <c r="H22" s="170"/>
      <c r="I22" s="170"/>
      <c r="J22" s="170"/>
      <c r="K22" s="170"/>
      <c r="L22" s="170"/>
      <c r="M22" s="170"/>
      <c r="N22" s="170">
        <f>1*N9</f>
        <v>1</v>
      </c>
      <c r="O22" s="170">
        <f t="shared" ref="O22:R22" si="6">1*O9</f>
        <v>1</v>
      </c>
      <c r="P22" s="170">
        <f t="shared" si="6"/>
        <v>1</v>
      </c>
      <c r="Q22" s="170">
        <f t="shared" si="6"/>
        <v>1</v>
      </c>
      <c r="R22" s="170">
        <f t="shared" si="6"/>
        <v>1</v>
      </c>
      <c r="S22" s="170"/>
      <c r="T22" s="170"/>
      <c r="U22" s="170"/>
      <c r="V22" s="170"/>
      <c r="W22" s="170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50" t="s">
        <v>525</v>
      </c>
      <c r="AL22" s="73">
        <v>244000</v>
      </c>
      <c r="AM22" s="63">
        <f>'Import-T7.2019'!F17</f>
        <v>0</v>
      </c>
      <c r="AN22" s="63">
        <f t="shared" si="0"/>
        <v>5</v>
      </c>
      <c r="AO22" s="182">
        <f>'NG T7.2019'!F17</f>
        <v>0</v>
      </c>
      <c r="AP22" s="158">
        <f t="shared" si="1"/>
        <v>243995</v>
      </c>
      <c r="AQ22" s="251" t="s">
        <v>551</v>
      </c>
    </row>
    <row r="23" spans="1:43" ht="15" customHeight="1" x14ac:dyDescent="0.25">
      <c r="A23" s="3">
        <v>14</v>
      </c>
      <c r="B23" s="189" t="s">
        <v>56</v>
      </c>
      <c r="C23" s="85" t="s">
        <v>60</v>
      </c>
      <c r="D23" s="86" t="s">
        <v>58</v>
      </c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>
        <f>1*S9</f>
        <v>1</v>
      </c>
      <c r="T23" s="170">
        <f t="shared" ref="T23:AJ23" si="7">1*T9</f>
        <v>1</v>
      </c>
      <c r="U23" s="170">
        <f t="shared" si="7"/>
        <v>1</v>
      </c>
      <c r="V23" s="170">
        <f t="shared" si="7"/>
        <v>1</v>
      </c>
      <c r="W23" s="170">
        <f t="shared" si="7"/>
        <v>1</v>
      </c>
      <c r="X23" s="170">
        <f t="shared" si="7"/>
        <v>1</v>
      </c>
      <c r="Y23" s="170">
        <f t="shared" si="7"/>
        <v>1</v>
      </c>
      <c r="Z23" s="170">
        <f t="shared" si="7"/>
        <v>1</v>
      </c>
      <c r="AA23" s="170">
        <f t="shared" si="7"/>
        <v>1</v>
      </c>
      <c r="AB23" s="170">
        <f t="shared" si="7"/>
        <v>1</v>
      </c>
      <c r="AC23" s="170">
        <f t="shared" si="7"/>
        <v>1</v>
      </c>
      <c r="AD23" s="170">
        <f t="shared" si="7"/>
        <v>1</v>
      </c>
      <c r="AE23" s="170">
        <f t="shared" si="7"/>
        <v>1</v>
      </c>
      <c r="AF23" s="170">
        <f t="shared" si="7"/>
        <v>1</v>
      </c>
      <c r="AG23" s="170">
        <f t="shared" si="7"/>
        <v>1</v>
      </c>
      <c r="AH23" s="170">
        <f t="shared" si="7"/>
        <v>1</v>
      </c>
      <c r="AI23" s="170">
        <f t="shared" si="7"/>
        <v>1</v>
      </c>
      <c r="AJ23" s="170">
        <f t="shared" si="7"/>
        <v>1</v>
      </c>
      <c r="AK23" s="50" t="s">
        <v>525</v>
      </c>
      <c r="AL23" s="73">
        <v>11000</v>
      </c>
      <c r="AM23" s="63">
        <f>'Import-T7.2019'!F18</f>
        <v>0</v>
      </c>
      <c r="AN23" s="63">
        <f t="shared" si="0"/>
        <v>18</v>
      </c>
      <c r="AO23" s="182">
        <f>'NG T7.2019'!F18</f>
        <v>0</v>
      </c>
      <c r="AP23" s="158">
        <f t="shared" si="1"/>
        <v>10982</v>
      </c>
      <c r="AQ23" s="251" t="s">
        <v>551</v>
      </c>
    </row>
    <row r="24" spans="1:43" ht="15" customHeight="1" x14ac:dyDescent="0.25">
      <c r="A24" s="3">
        <v>15</v>
      </c>
      <c r="B24" s="188" t="s">
        <v>61</v>
      </c>
      <c r="C24" s="101" t="s">
        <v>62</v>
      </c>
      <c r="D24" s="102" t="s">
        <v>63</v>
      </c>
      <c r="E24" s="170">
        <f>1*E9</f>
        <v>1</v>
      </c>
      <c r="F24" s="170"/>
      <c r="G24" s="170"/>
      <c r="H24" s="170"/>
      <c r="I24" s="170">
        <f>1*I9</f>
        <v>1</v>
      </c>
      <c r="J24" s="170"/>
      <c r="K24" s="170"/>
      <c r="L24" s="170">
        <f>1*L9</f>
        <v>1</v>
      </c>
      <c r="M24" s="170"/>
      <c r="N24" s="170">
        <f>1*N9</f>
        <v>1</v>
      </c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50" t="s">
        <v>525</v>
      </c>
      <c r="AL24" s="73"/>
      <c r="AM24" s="63">
        <f>'Import-T7.2019'!F19</f>
        <v>0</v>
      </c>
      <c r="AN24" s="63">
        <f t="shared" si="0"/>
        <v>4</v>
      </c>
      <c r="AO24" s="182">
        <f>'NG T7.2019'!F19</f>
        <v>0</v>
      </c>
      <c r="AP24" s="158">
        <f t="shared" si="1"/>
        <v>-4</v>
      </c>
      <c r="AQ24" s="250" t="s">
        <v>552</v>
      </c>
    </row>
    <row r="25" spans="1:43" ht="15" customHeight="1" x14ac:dyDescent="0.25">
      <c r="A25" s="3">
        <v>16</v>
      </c>
      <c r="B25" s="188" t="s">
        <v>61</v>
      </c>
      <c r="C25" s="103" t="s">
        <v>64</v>
      </c>
      <c r="D25" s="102" t="s">
        <v>65</v>
      </c>
      <c r="E25" s="170"/>
      <c r="F25" s="170">
        <f>1*F9</f>
        <v>1</v>
      </c>
      <c r="G25" s="170"/>
      <c r="H25" s="170"/>
      <c r="I25" s="170"/>
      <c r="J25" s="170">
        <f>1*J9</f>
        <v>1</v>
      </c>
      <c r="K25" s="170"/>
      <c r="L25" s="170"/>
      <c r="M25" s="170"/>
      <c r="N25" s="170"/>
      <c r="O25" s="170">
        <f>1*O9</f>
        <v>1</v>
      </c>
      <c r="P25" s="170"/>
      <c r="Q25" s="170"/>
      <c r="R25" s="170"/>
      <c r="S25" s="170">
        <f>1*S9</f>
        <v>1</v>
      </c>
      <c r="T25" s="170"/>
      <c r="U25" s="170"/>
      <c r="V25" s="170"/>
      <c r="W25" s="170"/>
      <c r="X25" s="170"/>
      <c r="Y25" s="170"/>
      <c r="Z25" s="170"/>
      <c r="AA25" s="170"/>
      <c r="AB25" s="170"/>
      <c r="AC25" s="170"/>
      <c r="AD25" s="170"/>
      <c r="AE25" s="170"/>
      <c r="AF25" s="170"/>
      <c r="AG25" s="170"/>
      <c r="AH25" s="170"/>
      <c r="AI25" s="170"/>
      <c r="AJ25" s="170"/>
      <c r="AK25" s="50" t="s">
        <v>525</v>
      </c>
      <c r="AL25" s="73"/>
      <c r="AM25" s="63">
        <f>'Import-T7.2019'!F20</f>
        <v>0</v>
      </c>
      <c r="AN25" s="63">
        <f t="shared" si="0"/>
        <v>4</v>
      </c>
      <c r="AO25" s="182">
        <f>'NG T7.2019'!F20</f>
        <v>0</v>
      </c>
      <c r="AP25" s="158">
        <f t="shared" si="1"/>
        <v>-4</v>
      </c>
      <c r="AQ25" s="250" t="s">
        <v>552</v>
      </c>
    </row>
    <row r="26" spans="1:43" ht="15" customHeight="1" x14ac:dyDescent="0.25">
      <c r="A26" s="3">
        <v>17</v>
      </c>
      <c r="B26" s="188" t="s">
        <v>61</v>
      </c>
      <c r="C26" s="103" t="s">
        <v>66</v>
      </c>
      <c r="D26" s="102" t="s">
        <v>67</v>
      </c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>
        <f>1*P9</f>
        <v>1</v>
      </c>
      <c r="Q26" s="170"/>
      <c r="R26" s="170"/>
      <c r="S26" s="170"/>
      <c r="T26" s="170">
        <f>1*T9</f>
        <v>1</v>
      </c>
      <c r="U26" s="170"/>
      <c r="V26" s="170"/>
      <c r="W26" s="170"/>
      <c r="X26" s="170"/>
      <c r="Y26" s="170"/>
      <c r="Z26" s="170"/>
      <c r="AA26" s="170"/>
      <c r="AB26" s="170"/>
      <c r="AC26" s="170"/>
      <c r="AD26" s="170"/>
      <c r="AE26" s="170"/>
      <c r="AF26" s="170"/>
      <c r="AG26" s="170"/>
      <c r="AH26" s="170"/>
      <c r="AI26" s="170"/>
      <c r="AJ26" s="170"/>
      <c r="AK26" s="50" t="s">
        <v>525</v>
      </c>
      <c r="AL26" s="73"/>
      <c r="AM26" s="63">
        <f>'Import-T7.2019'!F21</f>
        <v>0</v>
      </c>
      <c r="AN26" s="63">
        <f t="shared" si="0"/>
        <v>2</v>
      </c>
      <c r="AO26" s="182">
        <f>'NG T7.2019'!F21</f>
        <v>0</v>
      </c>
      <c r="AP26" s="158">
        <f t="shared" si="1"/>
        <v>-2</v>
      </c>
      <c r="AQ26" s="250" t="s">
        <v>552</v>
      </c>
    </row>
    <row r="27" spans="1:43" ht="15" customHeight="1" x14ac:dyDescent="0.25">
      <c r="A27" s="3">
        <v>18</v>
      </c>
      <c r="B27" s="188" t="s">
        <v>61</v>
      </c>
      <c r="C27" s="103" t="s">
        <v>68</v>
      </c>
      <c r="D27" s="102" t="s">
        <v>69</v>
      </c>
      <c r="E27" s="170"/>
      <c r="F27" s="170"/>
      <c r="G27" s="170">
        <f>1*G9</f>
        <v>1</v>
      </c>
      <c r="H27" s="170"/>
      <c r="I27" s="170"/>
      <c r="J27" s="170"/>
      <c r="K27" s="170">
        <f>1*K9</f>
        <v>1</v>
      </c>
      <c r="L27" s="170"/>
      <c r="M27" s="170">
        <f>1*M9</f>
        <v>1</v>
      </c>
      <c r="N27" s="170"/>
      <c r="O27" s="170"/>
      <c r="P27" s="170"/>
      <c r="Q27" s="170">
        <f>1*Q9</f>
        <v>1</v>
      </c>
      <c r="R27" s="170"/>
      <c r="S27" s="170"/>
      <c r="T27" s="170"/>
      <c r="U27" s="170"/>
      <c r="V27" s="170"/>
      <c r="W27" s="170"/>
      <c r="X27" s="170"/>
      <c r="Y27" s="170"/>
      <c r="Z27" s="170"/>
      <c r="AA27" s="170"/>
      <c r="AB27" s="170"/>
      <c r="AC27" s="170"/>
      <c r="AD27" s="170"/>
      <c r="AE27" s="170"/>
      <c r="AF27" s="170"/>
      <c r="AG27" s="170"/>
      <c r="AH27" s="170"/>
      <c r="AI27" s="170"/>
      <c r="AJ27" s="170"/>
      <c r="AK27" s="50" t="s">
        <v>525</v>
      </c>
      <c r="AL27" s="73"/>
      <c r="AM27" s="63">
        <f>'Import-T7.2019'!F22</f>
        <v>0</v>
      </c>
      <c r="AN27" s="63">
        <f t="shared" si="0"/>
        <v>4</v>
      </c>
      <c r="AO27" s="182">
        <f>'NG T7.2019'!F22</f>
        <v>0</v>
      </c>
      <c r="AP27" s="158">
        <f>AL27+AM27-AN27-AO27</f>
        <v>-4</v>
      </c>
      <c r="AQ27" s="250" t="s">
        <v>552</v>
      </c>
    </row>
    <row r="28" spans="1:43" ht="15" customHeight="1" x14ac:dyDescent="0.25">
      <c r="A28" s="3">
        <v>19</v>
      </c>
      <c r="B28" s="188" t="s">
        <v>61</v>
      </c>
      <c r="C28" s="103" t="s">
        <v>70</v>
      </c>
      <c r="D28" s="102" t="s">
        <v>71</v>
      </c>
      <c r="E28" s="170"/>
      <c r="F28" s="170"/>
      <c r="G28" s="170"/>
      <c r="H28" s="170">
        <f>1*H9</f>
        <v>1</v>
      </c>
      <c r="I28" s="170"/>
      <c r="J28" s="170"/>
      <c r="K28" s="170"/>
      <c r="L28" s="170"/>
      <c r="M28" s="170"/>
      <c r="N28" s="170"/>
      <c r="O28" s="170"/>
      <c r="P28" s="170"/>
      <c r="Q28" s="170"/>
      <c r="R28" s="170">
        <f>1*R9</f>
        <v>1</v>
      </c>
      <c r="S28" s="170"/>
      <c r="T28" s="170"/>
      <c r="U28" s="170"/>
      <c r="V28" s="170"/>
      <c r="W28" s="170"/>
      <c r="X28" s="170"/>
      <c r="Y28" s="170"/>
      <c r="Z28" s="170"/>
      <c r="AA28" s="170"/>
      <c r="AB28" s="170"/>
      <c r="AC28" s="170"/>
      <c r="AD28" s="170"/>
      <c r="AE28" s="170"/>
      <c r="AF28" s="170"/>
      <c r="AG28" s="170"/>
      <c r="AH28" s="170"/>
      <c r="AI28" s="170"/>
      <c r="AJ28" s="170"/>
      <c r="AK28" s="50" t="s">
        <v>525</v>
      </c>
      <c r="AL28" s="73"/>
      <c r="AM28" s="63">
        <f>'Import-T7.2019'!F23</f>
        <v>0</v>
      </c>
      <c r="AN28" s="63">
        <f t="shared" si="0"/>
        <v>2</v>
      </c>
      <c r="AO28" s="182">
        <f>'NG T7.2019'!F23</f>
        <v>0</v>
      </c>
      <c r="AP28" s="158">
        <f t="shared" si="1"/>
        <v>-2</v>
      </c>
      <c r="AQ28" s="250" t="s">
        <v>552</v>
      </c>
    </row>
    <row r="29" spans="1:43" ht="15" customHeight="1" x14ac:dyDescent="0.25">
      <c r="A29" s="3">
        <v>20</v>
      </c>
      <c r="B29" s="188" t="s">
        <v>72</v>
      </c>
      <c r="C29" s="101" t="s">
        <v>73</v>
      </c>
      <c r="D29" s="102" t="s">
        <v>74</v>
      </c>
      <c r="E29" s="170">
        <f>1*E9</f>
        <v>1</v>
      </c>
      <c r="F29" s="170"/>
      <c r="G29" s="170"/>
      <c r="H29" s="170"/>
      <c r="I29" s="170">
        <f>1*I9</f>
        <v>1</v>
      </c>
      <c r="J29" s="170"/>
      <c r="K29" s="170"/>
      <c r="L29" s="170">
        <f>1*L9</f>
        <v>1</v>
      </c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  <c r="Z29" s="170"/>
      <c r="AA29" s="170"/>
      <c r="AB29" s="170"/>
      <c r="AC29" s="170"/>
      <c r="AD29" s="170"/>
      <c r="AE29" s="170"/>
      <c r="AF29" s="170"/>
      <c r="AG29" s="170"/>
      <c r="AH29" s="170"/>
      <c r="AI29" s="170"/>
      <c r="AJ29" s="170"/>
      <c r="AK29" s="50" t="s">
        <v>525</v>
      </c>
      <c r="AL29" s="73"/>
      <c r="AM29" s="63">
        <f>'Import-T7.2019'!F24</f>
        <v>0</v>
      </c>
      <c r="AN29" s="63">
        <f t="shared" si="0"/>
        <v>3</v>
      </c>
      <c r="AO29" s="182">
        <f>'NG T7.2019'!F24</f>
        <v>0</v>
      </c>
      <c r="AP29" s="158">
        <f t="shared" si="1"/>
        <v>-3</v>
      </c>
      <c r="AQ29" s="250" t="s">
        <v>552</v>
      </c>
    </row>
    <row r="30" spans="1:43" ht="15" customHeight="1" x14ac:dyDescent="0.25">
      <c r="A30" s="3">
        <v>21</v>
      </c>
      <c r="B30" s="188" t="s">
        <v>72</v>
      </c>
      <c r="C30" s="101" t="s">
        <v>75</v>
      </c>
      <c r="D30" s="102" t="s">
        <v>76</v>
      </c>
      <c r="E30" s="170"/>
      <c r="F30" s="170">
        <f>1*F9</f>
        <v>1</v>
      </c>
      <c r="G30" s="170"/>
      <c r="H30" s="170"/>
      <c r="I30" s="170"/>
      <c r="J30" s="170">
        <f>1*J9</f>
        <v>1</v>
      </c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50" t="s">
        <v>525</v>
      </c>
      <c r="AL30" s="73">
        <v>12700</v>
      </c>
      <c r="AM30" s="63">
        <f>'Import-T7.2019'!F25</f>
        <v>0</v>
      </c>
      <c r="AN30" s="63">
        <f t="shared" si="0"/>
        <v>2</v>
      </c>
      <c r="AO30" s="182">
        <f>'NG T7.2019'!F25</f>
        <v>0</v>
      </c>
      <c r="AP30" s="158">
        <f t="shared" si="1"/>
        <v>12698</v>
      </c>
      <c r="AQ30" s="250" t="s">
        <v>552</v>
      </c>
    </row>
    <row r="31" spans="1:43" ht="15" customHeight="1" x14ac:dyDescent="0.25">
      <c r="A31" s="3">
        <v>22</v>
      </c>
      <c r="B31" s="188" t="s">
        <v>72</v>
      </c>
      <c r="C31" s="101" t="s">
        <v>77</v>
      </c>
      <c r="D31" s="102" t="s">
        <v>78</v>
      </c>
      <c r="E31" s="170"/>
      <c r="F31" s="170"/>
      <c r="G31" s="170">
        <f>1*G9</f>
        <v>1</v>
      </c>
      <c r="H31" s="170"/>
      <c r="I31" s="170"/>
      <c r="J31" s="170"/>
      <c r="K31" s="170">
        <f>1*K9</f>
        <v>1</v>
      </c>
      <c r="L31" s="170"/>
      <c r="M31" s="170">
        <f>1*M9</f>
        <v>1</v>
      </c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0"/>
      <c r="AD31" s="170"/>
      <c r="AE31" s="170"/>
      <c r="AF31" s="170"/>
      <c r="AG31" s="170"/>
      <c r="AH31" s="170"/>
      <c r="AI31" s="170"/>
      <c r="AJ31" s="170"/>
      <c r="AK31" s="50" t="s">
        <v>525</v>
      </c>
      <c r="AL31" s="73"/>
      <c r="AM31" s="63">
        <f>'Import-T7.2019'!F26</f>
        <v>0</v>
      </c>
      <c r="AN31" s="63">
        <f t="shared" si="0"/>
        <v>3</v>
      </c>
      <c r="AO31" s="182">
        <f>'NG T7.2019'!F26</f>
        <v>0</v>
      </c>
      <c r="AP31" s="158">
        <f t="shared" si="1"/>
        <v>-3</v>
      </c>
      <c r="AQ31" s="250" t="s">
        <v>552</v>
      </c>
    </row>
    <row r="32" spans="1:43" ht="15" customHeight="1" x14ac:dyDescent="0.25">
      <c r="A32" s="3">
        <v>23</v>
      </c>
      <c r="B32" s="188" t="s">
        <v>72</v>
      </c>
      <c r="C32" s="101" t="s">
        <v>79</v>
      </c>
      <c r="D32" s="102" t="s">
        <v>80</v>
      </c>
      <c r="E32" s="170"/>
      <c r="F32" s="170"/>
      <c r="G32" s="170"/>
      <c r="H32" s="170">
        <f>1*H9</f>
        <v>1</v>
      </c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  <c r="U32" s="170"/>
      <c r="V32" s="170"/>
      <c r="W32" s="170"/>
      <c r="X32" s="170"/>
      <c r="Y32" s="170"/>
      <c r="Z32" s="170"/>
      <c r="AA32" s="170"/>
      <c r="AB32" s="170"/>
      <c r="AC32" s="170"/>
      <c r="AD32" s="170"/>
      <c r="AE32" s="170"/>
      <c r="AF32" s="170"/>
      <c r="AG32" s="170"/>
      <c r="AH32" s="170"/>
      <c r="AI32" s="170"/>
      <c r="AJ32" s="170"/>
      <c r="AK32" s="50" t="s">
        <v>525</v>
      </c>
      <c r="AL32" s="73"/>
      <c r="AM32" s="63">
        <f>'Import-T7.2019'!F27</f>
        <v>0</v>
      </c>
      <c r="AN32" s="63">
        <f t="shared" si="0"/>
        <v>1</v>
      </c>
      <c r="AO32" s="182">
        <f>'NG T7.2019'!F27</f>
        <v>0</v>
      </c>
      <c r="AP32" s="158">
        <f t="shared" si="1"/>
        <v>-1</v>
      </c>
      <c r="AQ32" s="250" t="s">
        <v>552</v>
      </c>
    </row>
    <row r="33" spans="1:43" ht="15" customHeight="1" x14ac:dyDescent="0.25">
      <c r="A33" s="3">
        <v>24</v>
      </c>
      <c r="B33" s="188" t="s">
        <v>81</v>
      </c>
      <c r="C33" s="103" t="s">
        <v>82</v>
      </c>
      <c r="D33" s="102" t="s">
        <v>83</v>
      </c>
      <c r="E33" s="170"/>
      <c r="F33" s="170"/>
      <c r="G33" s="170"/>
      <c r="H33" s="170"/>
      <c r="I33" s="170"/>
      <c r="J33" s="170"/>
      <c r="K33" s="170"/>
      <c r="L33" s="170"/>
      <c r="M33" s="170"/>
      <c r="N33" s="170">
        <f>1*N9</f>
        <v>1</v>
      </c>
      <c r="O33" s="170"/>
      <c r="P33" s="170"/>
      <c r="Q33" s="170"/>
      <c r="R33" s="170"/>
      <c r="S33" s="170"/>
      <c r="T33" s="170"/>
      <c r="U33" s="170"/>
      <c r="V33" s="170"/>
      <c r="W33" s="170"/>
      <c r="X33" s="170"/>
      <c r="Y33" s="170"/>
      <c r="Z33" s="170"/>
      <c r="AA33" s="170"/>
      <c r="AB33" s="170"/>
      <c r="AC33" s="170"/>
      <c r="AD33" s="170"/>
      <c r="AE33" s="170"/>
      <c r="AF33" s="170"/>
      <c r="AG33" s="170"/>
      <c r="AH33" s="170"/>
      <c r="AI33" s="170"/>
      <c r="AJ33" s="170"/>
      <c r="AK33" s="50" t="s">
        <v>525</v>
      </c>
      <c r="AL33" s="73">
        <v>77250</v>
      </c>
      <c r="AM33" s="63">
        <f>'Import-T7.2019'!F28</f>
        <v>47350</v>
      </c>
      <c r="AN33" s="63">
        <f t="shared" si="0"/>
        <v>1</v>
      </c>
      <c r="AO33" s="182">
        <f>'NG T7.2019'!F28</f>
        <v>0</v>
      </c>
      <c r="AP33" s="158">
        <f t="shared" si="1"/>
        <v>124599</v>
      </c>
      <c r="AQ33" s="250" t="s">
        <v>552</v>
      </c>
    </row>
    <row r="34" spans="1:43" ht="15" customHeight="1" x14ac:dyDescent="0.25">
      <c r="A34" s="3">
        <v>25</v>
      </c>
      <c r="B34" s="188" t="s">
        <v>81</v>
      </c>
      <c r="C34" s="103" t="s">
        <v>84</v>
      </c>
      <c r="D34" s="102" t="s">
        <v>85</v>
      </c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70">
        <f>1*O9</f>
        <v>1</v>
      </c>
      <c r="P34" s="170"/>
      <c r="Q34" s="170"/>
      <c r="R34" s="170"/>
      <c r="S34" s="170"/>
      <c r="T34" s="170"/>
      <c r="U34" s="170"/>
      <c r="V34" s="170"/>
      <c r="W34" s="170"/>
      <c r="X34" s="170"/>
      <c r="Y34" s="170"/>
      <c r="Z34" s="170"/>
      <c r="AA34" s="170"/>
      <c r="AB34" s="170"/>
      <c r="AC34" s="170"/>
      <c r="AD34" s="170"/>
      <c r="AE34" s="170"/>
      <c r="AF34" s="170"/>
      <c r="AG34" s="170"/>
      <c r="AH34" s="170"/>
      <c r="AI34" s="170"/>
      <c r="AJ34" s="170"/>
      <c r="AK34" s="50" t="s">
        <v>525</v>
      </c>
      <c r="AL34" s="73">
        <v>66150</v>
      </c>
      <c r="AM34" s="63">
        <f>'Import-T7.2019'!F29</f>
        <v>0</v>
      </c>
      <c r="AN34" s="63">
        <f t="shared" si="0"/>
        <v>1</v>
      </c>
      <c r="AO34" s="182">
        <f>'NG T7.2019'!F29</f>
        <v>0</v>
      </c>
      <c r="AP34" s="158">
        <f t="shared" si="1"/>
        <v>66149</v>
      </c>
      <c r="AQ34" s="250" t="s">
        <v>552</v>
      </c>
    </row>
    <row r="35" spans="1:43" ht="15" customHeight="1" x14ac:dyDescent="0.25">
      <c r="A35" s="3">
        <v>26</v>
      </c>
      <c r="B35" s="188" t="s">
        <v>81</v>
      </c>
      <c r="C35" s="103" t="s">
        <v>86</v>
      </c>
      <c r="D35" s="102" t="s">
        <v>87</v>
      </c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0"/>
      <c r="P35" s="170">
        <f>1*P9</f>
        <v>1</v>
      </c>
      <c r="Q35" s="170"/>
      <c r="R35" s="170"/>
      <c r="S35" s="170"/>
      <c r="T35" s="170"/>
      <c r="U35" s="170"/>
      <c r="V35" s="170"/>
      <c r="W35" s="170"/>
      <c r="X35" s="170"/>
      <c r="Y35" s="170"/>
      <c r="Z35" s="170"/>
      <c r="AA35" s="170"/>
      <c r="AB35" s="170"/>
      <c r="AC35" s="170"/>
      <c r="AD35" s="170"/>
      <c r="AE35" s="170"/>
      <c r="AF35" s="170"/>
      <c r="AG35" s="170"/>
      <c r="AH35" s="170"/>
      <c r="AI35" s="170"/>
      <c r="AJ35" s="170"/>
      <c r="AK35" s="50" t="s">
        <v>525</v>
      </c>
      <c r="AL35" s="73"/>
      <c r="AM35" s="63">
        <f>'Import-T7.2019'!F30</f>
        <v>0</v>
      </c>
      <c r="AN35" s="63">
        <f t="shared" si="0"/>
        <v>1</v>
      </c>
      <c r="AO35" s="182">
        <f>'NG T7.2019'!F30</f>
        <v>0</v>
      </c>
      <c r="AP35" s="158">
        <f t="shared" si="1"/>
        <v>-1</v>
      </c>
      <c r="AQ35" s="250" t="s">
        <v>552</v>
      </c>
    </row>
    <row r="36" spans="1:43" ht="15" customHeight="1" x14ac:dyDescent="0.25">
      <c r="A36" s="3">
        <v>27</v>
      </c>
      <c r="B36" s="188" t="s">
        <v>81</v>
      </c>
      <c r="C36" s="103" t="s">
        <v>88</v>
      </c>
      <c r="D36" s="102" t="s">
        <v>89</v>
      </c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70"/>
      <c r="P36" s="170"/>
      <c r="Q36" s="170">
        <f>1*Q9</f>
        <v>1</v>
      </c>
      <c r="R36" s="170"/>
      <c r="S36" s="170"/>
      <c r="T36" s="170"/>
      <c r="U36" s="170"/>
      <c r="V36" s="170"/>
      <c r="W36" s="170"/>
      <c r="X36" s="170"/>
      <c r="Y36" s="170"/>
      <c r="Z36" s="170"/>
      <c r="AA36" s="170"/>
      <c r="AB36" s="170"/>
      <c r="AC36" s="170"/>
      <c r="AD36" s="170"/>
      <c r="AE36" s="170"/>
      <c r="AF36" s="170"/>
      <c r="AG36" s="170"/>
      <c r="AH36" s="170"/>
      <c r="AI36" s="170"/>
      <c r="AJ36" s="170"/>
      <c r="AK36" s="50" t="s">
        <v>525</v>
      </c>
      <c r="AL36" s="73">
        <v>75980</v>
      </c>
      <c r="AM36" s="63">
        <f>'Import-T7.2019'!F31</f>
        <v>0</v>
      </c>
      <c r="AN36" s="63">
        <f t="shared" si="0"/>
        <v>1</v>
      </c>
      <c r="AO36" s="182">
        <f>'NG T7.2019'!F31</f>
        <v>0</v>
      </c>
      <c r="AP36" s="158">
        <f t="shared" si="1"/>
        <v>75979</v>
      </c>
      <c r="AQ36" s="250" t="s">
        <v>552</v>
      </c>
    </row>
    <row r="37" spans="1:43" ht="15" customHeight="1" x14ac:dyDescent="0.25">
      <c r="A37" s="3">
        <v>28</v>
      </c>
      <c r="B37" s="188" t="s">
        <v>81</v>
      </c>
      <c r="C37" s="103" t="s">
        <v>90</v>
      </c>
      <c r="D37" s="102" t="s">
        <v>91</v>
      </c>
      <c r="E37" s="170"/>
      <c r="F37" s="170"/>
      <c r="G37" s="170"/>
      <c r="H37" s="170"/>
      <c r="I37" s="170"/>
      <c r="J37" s="170"/>
      <c r="K37" s="170"/>
      <c r="L37" s="170"/>
      <c r="M37" s="170"/>
      <c r="N37" s="170"/>
      <c r="O37" s="170"/>
      <c r="P37" s="170"/>
      <c r="Q37" s="170"/>
      <c r="R37" s="170">
        <f>1*R9</f>
        <v>1</v>
      </c>
      <c r="S37" s="170"/>
      <c r="T37" s="170"/>
      <c r="U37" s="170"/>
      <c r="V37" s="170"/>
      <c r="W37" s="170"/>
      <c r="X37" s="170"/>
      <c r="Y37" s="170"/>
      <c r="Z37" s="170"/>
      <c r="AA37" s="170"/>
      <c r="AB37" s="170"/>
      <c r="AC37" s="170"/>
      <c r="AD37" s="170"/>
      <c r="AE37" s="170"/>
      <c r="AF37" s="170"/>
      <c r="AG37" s="170"/>
      <c r="AH37" s="170"/>
      <c r="AI37" s="170"/>
      <c r="AJ37" s="170"/>
      <c r="AK37" s="50" t="s">
        <v>525</v>
      </c>
      <c r="AL37" s="73"/>
      <c r="AM37" s="63">
        <f>'Import-T7.2019'!F32</f>
        <v>0</v>
      </c>
      <c r="AN37" s="63">
        <f t="shared" si="0"/>
        <v>1</v>
      </c>
      <c r="AO37" s="182">
        <f>'NG T7.2019'!F32</f>
        <v>0</v>
      </c>
      <c r="AP37" s="158">
        <f t="shared" si="1"/>
        <v>-1</v>
      </c>
      <c r="AQ37" s="250" t="s">
        <v>552</v>
      </c>
    </row>
    <row r="38" spans="1:43" ht="15" customHeight="1" x14ac:dyDescent="0.25">
      <c r="A38" s="3">
        <v>29</v>
      </c>
      <c r="B38" s="35" t="s">
        <v>92</v>
      </c>
      <c r="C38" s="87" t="s">
        <v>93</v>
      </c>
      <c r="D38" s="88" t="s">
        <v>94</v>
      </c>
      <c r="E38" s="170">
        <f>1*E9</f>
        <v>1</v>
      </c>
      <c r="F38" s="170">
        <f t="shared" ref="F38:M38" si="8">1*F9</f>
        <v>1</v>
      </c>
      <c r="G38" s="170">
        <f t="shared" si="8"/>
        <v>1</v>
      </c>
      <c r="H38" s="170">
        <f t="shared" si="8"/>
        <v>1</v>
      </c>
      <c r="I38" s="170">
        <f t="shared" si="8"/>
        <v>1</v>
      </c>
      <c r="J38" s="170">
        <f t="shared" si="8"/>
        <v>1</v>
      </c>
      <c r="K38" s="170">
        <f t="shared" si="8"/>
        <v>1</v>
      </c>
      <c r="L38" s="170">
        <f t="shared" si="8"/>
        <v>1</v>
      </c>
      <c r="M38" s="170">
        <f t="shared" si="8"/>
        <v>1</v>
      </c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  <c r="Z38" s="170"/>
      <c r="AA38" s="170"/>
      <c r="AB38" s="170"/>
      <c r="AC38" s="170"/>
      <c r="AD38" s="170"/>
      <c r="AE38" s="170"/>
      <c r="AF38" s="170"/>
      <c r="AG38" s="170"/>
      <c r="AH38" s="170"/>
      <c r="AI38" s="170"/>
      <c r="AJ38" s="170"/>
      <c r="AK38" s="50" t="s">
        <v>525</v>
      </c>
      <c r="AL38" s="73">
        <v>24480</v>
      </c>
      <c r="AM38" s="63">
        <f>'Import-T7.2019'!F33</f>
        <v>0</v>
      </c>
      <c r="AN38" s="63">
        <f t="shared" si="0"/>
        <v>9</v>
      </c>
      <c r="AO38" s="182">
        <f>'NG T7.2019'!F33</f>
        <v>0</v>
      </c>
      <c r="AP38" s="158">
        <f t="shared" si="1"/>
        <v>24471</v>
      </c>
      <c r="AQ38" s="194" t="s">
        <v>553</v>
      </c>
    </row>
    <row r="39" spans="1:43" ht="15" customHeight="1" x14ac:dyDescent="0.25">
      <c r="A39" s="3">
        <v>30</v>
      </c>
      <c r="B39" s="188" t="s">
        <v>95</v>
      </c>
      <c r="C39" s="101" t="s">
        <v>96</v>
      </c>
      <c r="D39" s="102" t="s">
        <v>97</v>
      </c>
      <c r="E39" s="170">
        <f>1*E9</f>
        <v>1</v>
      </c>
      <c r="F39" s="170"/>
      <c r="G39" s="170"/>
      <c r="H39" s="170"/>
      <c r="I39" s="170">
        <f>1*I9</f>
        <v>1</v>
      </c>
      <c r="J39" s="170"/>
      <c r="K39" s="170"/>
      <c r="L39" s="170">
        <f>1*L9</f>
        <v>1</v>
      </c>
      <c r="M39" s="170"/>
      <c r="N39" s="170"/>
      <c r="O39" s="170"/>
      <c r="P39" s="170"/>
      <c r="Q39" s="170"/>
      <c r="R39" s="170"/>
      <c r="S39" s="170"/>
      <c r="T39" s="170"/>
      <c r="U39" s="170"/>
      <c r="V39" s="170"/>
      <c r="W39" s="170"/>
      <c r="X39" s="170"/>
      <c r="Y39" s="170"/>
      <c r="Z39" s="170"/>
      <c r="AA39" s="170"/>
      <c r="AB39" s="170"/>
      <c r="AC39" s="170"/>
      <c r="AD39" s="170"/>
      <c r="AE39" s="170"/>
      <c r="AF39" s="170"/>
      <c r="AG39" s="170"/>
      <c r="AH39" s="170"/>
      <c r="AI39" s="170"/>
      <c r="AJ39" s="170"/>
      <c r="AK39" s="50" t="s">
        <v>525</v>
      </c>
      <c r="AL39" s="73">
        <v>188060</v>
      </c>
      <c r="AM39" s="63">
        <f>'Import-T7.2019'!F34</f>
        <v>31000</v>
      </c>
      <c r="AN39" s="63">
        <f t="shared" si="0"/>
        <v>3</v>
      </c>
      <c r="AO39" s="182">
        <f>'NG T7.2019'!F34</f>
        <v>0</v>
      </c>
      <c r="AP39" s="158">
        <f t="shared" si="1"/>
        <v>219057</v>
      </c>
      <c r="AQ39" s="250" t="s">
        <v>552</v>
      </c>
    </row>
    <row r="40" spans="1:43" ht="15" customHeight="1" x14ac:dyDescent="0.25">
      <c r="A40" s="3">
        <v>31</v>
      </c>
      <c r="B40" s="188" t="s">
        <v>95</v>
      </c>
      <c r="C40" s="103" t="s">
        <v>98</v>
      </c>
      <c r="D40" s="102" t="s">
        <v>99</v>
      </c>
      <c r="E40" s="170"/>
      <c r="F40" s="170">
        <f>1*F9</f>
        <v>1</v>
      </c>
      <c r="G40" s="170"/>
      <c r="H40" s="170"/>
      <c r="I40" s="170"/>
      <c r="J40" s="170">
        <f>1*J9</f>
        <v>1</v>
      </c>
      <c r="K40" s="170"/>
      <c r="L40" s="170"/>
      <c r="M40" s="170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70"/>
      <c r="AF40" s="170"/>
      <c r="AG40" s="170"/>
      <c r="AH40" s="170"/>
      <c r="AI40" s="170"/>
      <c r="AJ40" s="170"/>
      <c r="AK40" s="50" t="s">
        <v>525</v>
      </c>
      <c r="AL40" s="73">
        <v>101502</v>
      </c>
      <c r="AM40" s="63">
        <f>'Import-T7.2019'!F35</f>
        <v>11500</v>
      </c>
      <c r="AN40" s="63">
        <f t="shared" si="0"/>
        <v>2</v>
      </c>
      <c r="AO40" s="182">
        <f>'NG T7.2019'!F35</f>
        <v>0</v>
      </c>
      <c r="AP40" s="158">
        <f t="shared" si="1"/>
        <v>113000</v>
      </c>
      <c r="AQ40" s="250" t="s">
        <v>552</v>
      </c>
    </row>
    <row r="41" spans="1:43" ht="15" customHeight="1" x14ac:dyDescent="0.25">
      <c r="A41" s="3">
        <v>32</v>
      </c>
      <c r="B41" s="188" t="s">
        <v>95</v>
      </c>
      <c r="C41" s="103" t="s">
        <v>100</v>
      </c>
      <c r="D41" s="102" t="s">
        <v>101</v>
      </c>
      <c r="E41" s="170"/>
      <c r="F41" s="170"/>
      <c r="G41" s="170">
        <f>1*G9</f>
        <v>1</v>
      </c>
      <c r="H41" s="170"/>
      <c r="I41" s="170"/>
      <c r="J41" s="170"/>
      <c r="K41" s="170">
        <f>1*K9</f>
        <v>1</v>
      </c>
      <c r="L41" s="170"/>
      <c r="M41" s="170">
        <f>1*M9</f>
        <v>1</v>
      </c>
      <c r="N41" s="170"/>
      <c r="O41" s="170"/>
      <c r="P41" s="170"/>
      <c r="Q41" s="170"/>
      <c r="R41" s="170"/>
      <c r="S41" s="170"/>
      <c r="T41" s="170"/>
      <c r="U41" s="170"/>
      <c r="V41" s="170"/>
      <c r="W41" s="170"/>
      <c r="X41" s="170"/>
      <c r="Y41" s="170"/>
      <c r="Z41" s="170"/>
      <c r="AA41" s="170"/>
      <c r="AB41" s="170"/>
      <c r="AC41" s="170"/>
      <c r="AD41" s="170"/>
      <c r="AE41" s="170"/>
      <c r="AF41" s="170"/>
      <c r="AG41" s="170"/>
      <c r="AH41" s="170"/>
      <c r="AI41" s="170"/>
      <c r="AJ41" s="170"/>
      <c r="AK41" s="50" t="s">
        <v>525</v>
      </c>
      <c r="AL41" s="73">
        <v>96655</v>
      </c>
      <c r="AM41" s="63">
        <f>'Import-T7.2019'!F36</f>
        <v>21100</v>
      </c>
      <c r="AN41" s="63">
        <f t="shared" si="0"/>
        <v>3</v>
      </c>
      <c r="AO41" s="182">
        <f>'NG T7.2019'!F36</f>
        <v>0</v>
      </c>
      <c r="AP41" s="158">
        <f t="shared" si="1"/>
        <v>117752</v>
      </c>
      <c r="AQ41" s="250" t="s">
        <v>552</v>
      </c>
    </row>
    <row r="42" spans="1:43" ht="15" customHeight="1" x14ac:dyDescent="0.25">
      <c r="A42" s="3">
        <v>33</v>
      </c>
      <c r="B42" s="188" t="s">
        <v>95</v>
      </c>
      <c r="C42" s="103" t="s">
        <v>102</v>
      </c>
      <c r="D42" s="102" t="s">
        <v>103</v>
      </c>
      <c r="E42" s="170"/>
      <c r="F42" s="170"/>
      <c r="G42" s="170"/>
      <c r="H42" s="170">
        <f>1*H9</f>
        <v>1</v>
      </c>
      <c r="I42" s="170"/>
      <c r="J42" s="170"/>
      <c r="K42" s="170"/>
      <c r="L42" s="170"/>
      <c r="M42" s="170"/>
      <c r="N42" s="170"/>
      <c r="O42" s="170"/>
      <c r="P42" s="170"/>
      <c r="Q42" s="170"/>
      <c r="R42" s="170"/>
      <c r="S42" s="170"/>
      <c r="T42" s="170"/>
      <c r="U42" s="170"/>
      <c r="V42" s="170"/>
      <c r="W42" s="170"/>
      <c r="X42" s="170"/>
      <c r="Y42" s="170"/>
      <c r="Z42" s="170"/>
      <c r="AA42" s="170"/>
      <c r="AB42" s="170"/>
      <c r="AC42" s="170"/>
      <c r="AD42" s="170"/>
      <c r="AE42" s="170"/>
      <c r="AF42" s="170"/>
      <c r="AG42" s="170"/>
      <c r="AH42" s="170"/>
      <c r="AI42" s="170"/>
      <c r="AJ42" s="170"/>
      <c r="AK42" s="50" t="s">
        <v>525</v>
      </c>
      <c r="AL42" s="73">
        <v>19992</v>
      </c>
      <c r="AM42" s="63">
        <f>'Import-T7.2019'!F37</f>
        <v>0</v>
      </c>
      <c r="AN42" s="63">
        <f t="shared" si="0"/>
        <v>1</v>
      </c>
      <c r="AO42" s="182">
        <f>'NG T7.2019'!F37</f>
        <v>0</v>
      </c>
      <c r="AP42" s="158">
        <f t="shared" si="1"/>
        <v>19991</v>
      </c>
      <c r="AQ42" s="250" t="s">
        <v>552</v>
      </c>
    </row>
    <row r="43" spans="1:43" ht="15" customHeight="1" x14ac:dyDescent="0.25">
      <c r="A43" s="3">
        <v>34</v>
      </c>
      <c r="B43" s="188" t="s">
        <v>104</v>
      </c>
      <c r="C43" s="101" t="s">
        <v>105</v>
      </c>
      <c r="D43" s="102" t="s">
        <v>106</v>
      </c>
      <c r="E43" s="170">
        <f>1*E9</f>
        <v>1</v>
      </c>
      <c r="F43" s="170"/>
      <c r="G43" s="170"/>
      <c r="H43" s="170"/>
      <c r="I43" s="170">
        <f>1*I9</f>
        <v>1</v>
      </c>
      <c r="J43" s="170"/>
      <c r="K43" s="170"/>
      <c r="L43" s="170">
        <f>1*L9</f>
        <v>1</v>
      </c>
      <c r="M43" s="170"/>
      <c r="N43" s="170"/>
      <c r="O43" s="170"/>
      <c r="P43" s="170"/>
      <c r="Q43" s="170"/>
      <c r="R43" s="170"/>
      <c r="S43" s="170"/>
      <c r="T43" s="170"/>
      <c r="U43" s="170"/>
      <c r="V43" s="170"/>
      <c r="W43" s="170"/>
      <c r="X43" s="170"/>
      <c r="Y43" s="170"/>
      <c r="Z43" s="170"/>
      <c r="AA43" s="170"/>
      <c r="AB43" s="170"/>
      <c r="AC43" s="170"/>
      <c r="AD43" s="170"/>
      <c r="AE43" s="170"/>
      <c r="AF43" s="170"/>
      <c r="AG43" s="170"/>
      <c r="AH43" s="170"/>
      <c r="AI43" s="170"/>
      <c r="AJ43" s="170"/>
      <c r="AK43" s="50" t="s">
        <v>525</v>
      </c>
      <c r="AL43" s="73">
        <v>40580</v>
      </c>
      <c r="AM43" s="63">
        <f>'Import-T7.2019'!F38</f>
        <v>24000</v>
      </c>
      <c r="AN43" s="63">
        <f t="shared" si="0"/>
        <v>3</v>
      </c>
      <c r="AO43" s="182">
        <f>'NG T7.2019'!F38</f>
        <v>0</v>
      </c>
      <c r="AP43" s="158">
        <f t="shared" si="1"/>
        <v>64577</v>
      </c>
      <c r="AQ43" s="250" t="s">
        <v>552</v>
      </c>
    </row>
    <row r="44" spans="1:43" ht="15" customHeight="1" x14ac:dyDescent="0.25">
      <c r="A44" s="3">
        <v>35</v>
      </c>
      <c r="B44" s="188" t="s">
        <v>104</v>
      </c>
      <c r="C44" s="103" t="s">
        <v>107</v>
      </c>
      <c r="D44" s="102" t="s">
        <v>108</v>
      </c>
      <c r="E44" s="170"/>
      <c r="F44" s="170">
        <f>1*F9</f>
        <v>1</v>
      </c>
      <c r="G44" s="170"/>
      <c r="H44" s="170"/>
      <c r="I44" s="170"/>
      <c r="J44" s="170">
        <f>1*J9</f>
        <v>1</v>
      </c>
      <c r="K44" s="170"/>
      <c r="L44" s="170"/>
      <c r="M44" s="170"/>
      <c r="N44" s="170"/>
      <c r="O44" s="170"/>
      <c r="P44" s="170"/>
      <c r="Q44" s="170"/>
      <c r="R44" s="170"/>
      <c r="S44" s="170"/>
      <c r="T44" s="170"/>
      <c r="U44" s="170"/>
      <c r="V44" s="170"/>
      <c r="W44" s="170"/>
      <c r="X44" s="170"/>
      <c r="Y44" s="170"/>
      <c r="Z44" s="170"/>
      <c r="AA44" s="170"/>
      <c r="AB44" s="170"/>
      <c r="AC44" s="170"/>
      <c r="AD44" s="170"/>
      <c r="AE44" s="170"/>
      <c r="AF44" s="170"/>
      <c r="AG44" s="170"/>
      <c r="AH44" s="170"/>
      <c r="AI44" s="170"/>
      <c r="AJ44" s="170"/>
      <c r="AK44" s="50" t="s">
        <v>525</v>
      </c>
      <c r="AL44" s="73">
        <v>30199</v>
      </c>
      <c r="AM44" s="63">
        <f>'Import-T7.2019'!F39</f>
        <v>854</v>
      </c>
      <c r="AN44" s="63">
        <f t="shared" si="0"/>
        <v>2</v>
      </c>
      <c r="AO44" s="182">
        <f>'NG T7.2019'!F39</f>
        <v>0</v>
      </c>
      <c r="AP44" s="158">
        <f t="shared" si="1"/>
        <v>31051</v>
      </c>
      <c r="AQ44" s="250" t="s">
        <v>552</v>
      </c>
    </row>
    <row r="45" spans="1:43" ht="15" customHeight="1" x14ac:dyDescent="0.25">
      <c r="A45" s="3">
        <v>36</v>
      </c>
      <c r="B45" s="188" t="s">
        <v>104</v>
      </c>
      <c r="C45" s="103" t="s">
        <v>109</v>
      </c>
      <c r="D45" s="102" t="s">
        <v>110</v>
      </c>
      <c r="E45" s="170"/>
      <c r="F45" s="170"/>
      <c r="G45" s="170">
        <f>1*G9</f>
        <v>1</v>
      </c>
      <c r="H45" s="170"/>
      <c r="I45" s="170"/>
      <c r="J45" s="170"/>
      <c r="K45" s="170">
        <f>1*K9</f>
        <v>1</v>
      </c>
      <c r="L45" s="170"/>
      <c r="M45" s="170">
        <f>1*M9</f>
        <v>1</v>
      </c>
      <c r="N45" s="170"/>
      <c r="O45" s="170"/>
      <c r="P45" s="170"/>
      <c r="Q45" s="170"/>
      <c r="R45" s="170"/>
      <c r="S45" s="170"/>
      <c r="T45" s="170"/>
      <c r="U45" s="170"/>
      <c r="V45" s="170"/>
      <c r="W45" s="170"/>
      <c r="X45" s="170"/>
      <c r="Y45" s="170"/>
      <c r="Z45" s="170"/>
      <c r="AA45" s="170"/>
      <c r="AB45" s="170"/>
      <c r="AC45" s="170"/>
      <c r="AD45" s="170"/>
      <c r="AE45" s="170"/>
      <c r="AF45" s="170"/>
      <c r="AG45" s="170"/>
      <c r="AH45" s="170"/>
      <c r="AI45" s="170"/>
      <c r="AJ45" s="170"/>
      <c r="AK45" s="50" t="s">
        <v>525</v>
      </c>
      <c r="AL45" s="73"/>
      <c r="AM45" s="63">
        <f>'Import-T7.2019'!F40</f>
        <v>0</v>
      </c>
      <c r="AN45" s="63">
        <f t="shared" si="0"/>
        <v>3</v>
      </c>
      <c r="AO45" s="182">
        <f>'NG T7.2019'!F40</f>
        <v>0</v>
      </c>
      <c r="AP45" s="158">
        <v>40810</v>
      </c>
      <c r="AQ45" s="250" t="s">
        <v>552</v>
      </c>
    </row>
    <row r="46" spans="1:43" ht="15" customHeight="1" x14ac:dyDescent="0.25">
      <c r="A46" s="3">
        <v>37</v>
      </c>
      <c r="B46" s="188" t="s">
        <v>104</v>
      </c>
      <c r="C46" s="103" t="s">
        <v>111</v>
      </c>
      <c r="D46" s="102" t="s">
        <v>112</v>
      </c>
      <c r="E46" s="170"/>
      <c r="F46" s="170"/>
      <c r="G46" s="170"/>
      <c r="H46" s="170">
        <f>1*H9</f>
        <v>1</v>
      </c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Z46" s="170"/>
      <c r="AA46" s="170"/>
      <c r="AB46" s="170"/>
      <c r="AC46" s="170"/>
      <c r="AD46" s="170"/>
      <c r="AE46" s="170"/>
      <c r="AF46" s="170"/>
      <c r="AG46" s="170"/>
      <c r="AH46" s="170"/>
      <c r="AI46" s="170"/>
      <c r="AJ46" s="170"/>
      <c r="AK46" s="50" t="s">
        <v>525</v>
      </c>
      <c r="AL46" s="73">
        <v>17825</v>
      </c>
      <c r="AM46" s="63">
        <f>'Import-T7.2019'!F41</f>
        <v>0</v>
      </c>
      <c r="AN46" s="63">
        <f t="shared" si="0"/>
        <v>1</v>
      </c>
      <c r="AO46" s="182">
        <f>'NG T7.2019'!F41</f>
        <v>0</v>
      </c>
      <c r="AP46" s="158">
        <f t="shared" si="1"/>
        <v>17824</v>
      </c>
      <c r="AQ46" s="250" t="s">
        <v>552</v>
      </c>
    </row>
    <row r="47" spans="1:43" ht="15" customHeight="1" x14ac:dyDescent="0.25">
      <c r="A47" s="3">
        <v>38</v>
      </c>
      <c r="B47" s="188" t="s">
        <v>113</v>
      </c>
      <c r="C47" s="101" t="s">
        <v>114</v>
      </c>
      <c r="D47" s="102" t="s">
        <v>115</v>
      </c>
      <c r="E47" s="170">
        <f>1*E9</f>
        <v>1</v>
      </c>
      <c r="F47" s="170"/>
      <c r="G47" s="170"/>
      <c r="H47" s="170"/>
      <c r="I47" s="170">
        <f>1*I9</f>
        <v>1</v>
      </c>
      <c r="J47" s="170"/>
      <c r="K47" s="170"/>
      <c r="L47" s="170">
        <f>1*L9</f>
        <v>1</v>
      </c>
      <c r="M47" s="170"/>
      <c r="N47" s="170"/>
      <c r="O47" s="170"/>
      <c r="P47" s="170"/>
      <c r="Q47" s="170"/>
      <c r="R47" s="170"/>
      <c r="S47" s="170"/>
      <c r="T47" s="170"/>
      <c r="U47" s="170"/>
      <c r="V47" s="170"/>
      <c r="W47" s="170"/>
      <c r="X47" s="170"/>
      <c r="Y47" s="170"/>
      <c r="Z47" s="170"/>
      <c r="AA47" s="170"/>
      <c r="AB47" s="170"/>
      <c r="AC47" s="170"/>
      <c r="AD47" s="170"/>
      <c r="AE47" s="170"/>
      <c r="AF47" s="170"/>
      <c r="AG47" s="170"/>
      <c r="AH47" s="170"/>
      <c r="AI47" s="170"/>
      <c r="AJ47" s="170"/>
      <c r="AK47" s="50" t="s">
        <v>525</v>
      </c>
      <c r="AL47" s="73">
        <v>53704</v>
      </c>
      <c r="AM47" s="63">
        <f>'Import-T7.2019'!F42</f>
        <v>25000</v>
      </c>
      <c r="AN47" s="63">
        <f t="shared" si="0"/>
        <v>3</v>
      </c>
      <c r="AO47" s="182">
        <f>'NG T7.2019'!F42</f>
        <v>0</v>
      </c>
      <c r="AP47" s="158">
        <f t="shared" si="1"/>
        <v>78701</v>
      </c>
      <c r="AQ47" s="250" t="s">
        <v>552</v>
      </c>
    </row>
    <row r="48" spans="1:43" ht="15" customHeight="1" x14ac:dyDescent="0.25">
      <c r="A48" s="3">
        <v>39</v>
      </c>
      <c r="B48" s="188" t="s">
        <v>113</v>
      </c>
      <c r="C48" s="103" t="s">
        <v>116</v>
      </c>
      <c r="D48" s="102" t="s">
        <v>117</v>
      </c>
      <c r="E48" s="170"/>
      <c r="F48" s="170">
        <f>1*F9</f>
        <v>1</v>
      </c>
      <c r="G48" s="170"/>
      <c r="H48" s="170"/>
      <c r="I48" s="170"/>
      <c r="J48" s="170">
        <f>1*J9</f>
        <v>1</v>
      </c>
      <c r="K48" s="170"/>
      <c r="L48" s="170"/>
      <c r="M48" s="170"/>
      <c r="N48" s="170"/>
      <c r="O48" s="170"/>
      <c r="P48" s="170"/>
      <c r="Q48" s="170"/>
      <c r="R48" s="170"/>
      <c r="S48" s="170"/>
      <c r="T48" s="170"/>
      <c r="U48" s="170"/>
      <c r="V48" s="170"/>
      <c r="W48" s="170"/>
      <c r="X48" s="170"/>
      <c r="Y48" s="170"/>
      <c r="Z48" s="170"/>
      <c r="AA48" s="170"/>
      <c r="AB48" s="170"/>
      <c r="AC48" s="170"/>
      <c r="AD48" s="170"/>
      <c r="AE48" s="170"/>
      <c r="AF48" s="170"/>
      <c r="AG48" s="170"/>
      <c r="AH48" s="170"/>
      <c r="AI48" s="170"/>
      <c r="AJ48" s="170"/>
      <c r="AK48" s="50" t="s">
        <v>525</v>
      </c>
      <c r="AL48" s="73">
        <v>26718</v>
      </c>
      <c r="AM48" s="63">
        <f>'Import-T7.2019'!F43</f>
        <v>1680</v>
      </c>
      <c r="AN48" s="63">
        <f t="shared" si="0"/>
        <v>2</v>
      </c>
      <c r="AO48" s="182">
        <f>'NG T7.2019'!F43</f>
        <v>0</v>
      </c>
      <c r="AP48" s="158">
        <f t="shared" si="1"/>
        <v>28396</v>
      </c>
      <c r="AQ48" s="250" t="s">
        <v>552</v>
      </c>
    </row>
    <row r="49" spans="1:47" ht="15" customHeight="1" x14ac:dyDescent="0.25">
      <c r="A49" s="3">
        <v>40</v>
      </c>
      <c r="B49" s="188" t="s">
        <v>113</v>
      </c>
      <c r="C49" s="103" t="s">
        <v>118</v>
      </c>
      <c r="D49" s="102" t="s">
        <v>119</v>
      </c>
      <c r="E49" s="170"/>
      <c r="F49" s="170"/>
      <c r="G49" s="170">
        <f>1*G9</f>
        <v>1</v>
      </c>
      <c r="H49" s="170"/>
      <c r="I49" s="170"/>
      <c r="J49" s="170"/>
      <c r="K49" s="170">
        <f>1*K9</f>
        <v>1</v>
      </c>
      <c r="L49" s="170"/>
      <c r="M49" s="170">
        <f>1*M9</f>
        <v>1</v>
      </c>
      <c r="N49" s="170"/>
      <c r="O49" s="170"/>
      <c r="P49" s="170"/>
      <c r="Q49" s="170"/>
      <c r="R49" s="170"/>
      <c r="S49" s="170"/>
      <c r="T49" s="170"/>
      <c r="U49" s="170"/>
      <c r="V49" s="170"/>
      <c r="W49" s="170"/>
      <c r="X49" s="170"/>
      <c r="Y49" s="170"/>
      <c r="Z49" s="170"/>
      <c r="AA49" s="170"/>
      <c r="AB49" s="170"/>
      <c r="AC49" s="170"/>
      <c r="AD49" s="170"/>
      <c r="AE49" s="170"/>
      <c r="AF49" s="170"/>
      <c r="AG49" s="170"/>
      <c r="AH49" s="170"/>
      <c r="AI49" s="170"/>
      <c r="AJ49" s="170"/>
      <c r="AK49" s="50" t="s">
        <v>525</v>
      </c>
      <c r="AL49" s="73">
        <v>42510</v>
      </c>
      <c r="AM49" s="63">
        <f>'Import-T7.2019'!F44</f>
        <v>0</v>
      </c>
      <c r="AN49" s="63">
        <f t="shared" si="0"/>
        <v>3</v>
      </c>
      <c r="AO49" s="182">
        <f>'NG T7.2019'!F44</f>
        <v>0</v>
      </c>
      <c r="AP49" s="158">
        <f t="shared" si="1"/>
        <v>42507</v>
      </c>
      <c r="AQ49" s="250" t="s">
        <v>552</v>
      </c>
    </row>
    <row r="50" spans="1:47" ht="15" customHeight="1" x14ac:dyDescent="0.25">
      <c r="A50" s="3">
        <v>41</v>
      </c>
      <c r="B50" s="188" t="s">
        <v>113</v>
      </c>
      <c r="C50" s="103" t="s">
        <v>120</v>
      </c>
      <c r="D50" s="102" t="s">
        <v>121</v>
      </c>
      <c r="E50" s="170"/>
      <c r="F50" s="170"/>
      <c r="G50" s="170"/>
      <c r="H50" s="170">
        <f>1*H9</f>
        <v>1</v>
      </c>
      <c r="I50" s="170"/>
      <c r="J50" s="170"/>
      <c r="K50" s="170"/>
      <c r="L50" s="170"/>
      <c r="M50" s="170"/>
      <c r="N50" s="170"/>
      <c r="O50" s="170"/>
      <c r="P50" s="170"/>
      <c r="Q50" s="170"/>
      <c r="R50" s="170"/>
      <c r="S50" s="170"/>
      <c r="T50" s="170"/>
      <c r="U50" s="170"/>
      <c r="V50" s="170"/>
      <c r="W50" s="170"/>
      <c r="X50" s="170"/>
      <c r="Y50" s="170"/>
      <c r="Z50" s="170"/>
      <c r="AA50" s="170"/>
      <c r="AB50" s="170"/>
      <c r="AC50" s="170"/>
      <c r="AD50" s="170"/>
      <c r="AE50" s="170"/>
      <c r="AF50" s="170"/>
      <c r="AG50" s="170"/>
      <c r="AH50" s="170"/>
      <c r="AI50" s="170"/>
      <c r="AJ50" s="170"/>
      <c r="AK50" s="50" t="s">
        <v>525</v>
      </c>
      <c r="AL50" s="73">
        <v>21490</v>
      </c>
      <c r="AM50" s="63">
        <f>'Import-T7.2019'!F45</f>
        <v>0</v>
      </c>
      <c r="AN50" s="63">
        <f t="shared" si="0"/>
        <v>1</v>
      </c>
      <c r="AO50" s="182">
        <f>'NG T7.2019'!F45</f>
        <v>0</v>
      </c>
      <c r="AP50" s="158">
        <f t="shared" si="1"/>
        <v>21489</v>
      </c>
      <c r="AQ50" s="250" t="s">
        <v>552</v>
      </c>
    </row>
    <row r="51" spans="1:47" ht="15" customHeight="1" x14ac:dyDescent="0.25">
      <c r="A51" s="3">
        <v>42</v>
      </c>
      <c r="B51" s="188" t="s">
        <v>122</v>
      </c>
      <c r="C51" s="85" t="s">
        <v>123</v>
      </c>
      <c r="D51" s="86" t="s">
        <v>124</v>
      </c>
      <c r="E51" s="170">
        <f>1*E9</f>
        <v>1</v>
      </c>
      <c r="F51" s="170"/>
      <c r="G51" s="170">
        <f>1*G9</f>
        <v>1</v>
      </c>
      <c r="H51" s="170">
        <f t="shared" ref="H51:I51" si="9">1*H9</f>
        <v>1</v>
      </c>
      <c r="I51" s="170">
        <f t="shared" si="9"/>
        <v>1</v>
      </c>
      <c r="J51" s="170"/>
      <c r="K51" s="170">
        <f>1*K9</f>
        <v>1</v>
      </c>
      <c r="L51" s="170">
        <f t="shared" ref="L51:S51" si="10">1*L9</f>
        <v>1</v>
      </c>
      <c r="M51" s="170">
        <f t="shared" si="10"/>
        <v>1</v>
      </c>
      <c r="N51" s="170">
        <f t="shared" si="10"/>
        <v>1</v>
      </c>
      <c r="O51" s="170">
        <f t="shared" si="10"/>
        <v>1</v>
      </c>
      <c r="P51" s="170">
        <f t="shared" si="10"/>
        <v>1</v>
      </c>
      <c r="Q51" s="170">
        <f t="shared" si="10"/>
        <v>1</v>
      </c>
      <c r="R51" s="170">
        <f t="shared" si="10"/>
        <v>1</v>
      </c>
      <c r="S51" s="170">
        <f t="shared" si="10"/>
        <v>1</v>
      </c>
      <c r="T51" s="170"/>
      <c r="U51" s="170"/>
      <c r="V51" s="170"/>
      <c r="W51" s="170"/>
      <c r="X51" s="170">
        <f>1*X9</f>
        <v>1</v>
      </c>
      <c r="Y51" s="170"/>
      <c r="Z51" s="170"/>
      <c r="AA51" s="170"/>
      <c r="AB51" s="170"/>
      <c r="AC51" s="170">
        <f>1*AC9</f>
        <v>1</v>
      </c>
      <c r="AD51" s="170"/>
      <c r="AE51" s="170"/>
      <c r="AF51" s="170"/>
      <c r="AG51" s="170">
        <f>1*AG9</f>
        <v>1</v>
      </c>
      <c r="AH51" s="170"/>
      <c r="AI51" s="170"/>
      <c r="AJ51" s="170"/>
      <c r="AK51" s="50" t="s">
        <v>525</v>
      </c>
      <c r="AL51" s="73">
        <v>110000</v>
      </c>
      <c r="AM51" s="63">
        <f>'Import-T7.2019'!F46</f>
        <v>0</v>
      </c>
      <c r="AN51" s="63">
        <f t="shared" si="0"/>
        <v>16</v>
      </c>
      <c r="AO51" s="182">
        <f>'NG T7.2019'!F46</f>
        <v>0</v>
      </c>
      <c r="AP51" s="158">
        <f t="shared" si="1"/>
        <v>109984</v>
      </c>
      <c r="AQ51" s="250" t="s">
        <v>550</v>
      </c>
    </row>
    <row r="52" spans="1:47" ht="15" customHeight="1" x14ac:dyDescent="0.25">
      <c r="A52" s="3">
        <v>43</v>
      </c>
      <c r="B52" s="188" t="s">
        <v>122</v>
      </c>
      <c r="C52" s="85" t="s">
        <v>125</v>
      </c>
      <c r="D52" s="86" t="s">
        <v>124</v>
      </c>
      <c r="E52" s="170"/>
      <c r="F52" s="170">
        <f>1*F9</f>
        <v>1</v>
      </c>
      <c r="G52" s="170"/>
      <c r="H52" s="170"/>
      <c r="I52" s="170"/>
      <c r="J52" s="170">
        <f>1*J9</f>
        <v>1</v>
      </c>
      <c r="K52" s="170"/>
      <c r="L52" s="170"/>
      <c r="M52" s="170"/>
      <c r="N52" s="170"/>
      <c r="O52" s="170">
        <f>1*O9</f>
        <v>1</v>
      </c>
      <c r="P52" s="170"/>
      <c r="Q52" s="170"/>
      <c r="R52" s="170"/>
      <c r="S52" s="170"/>
      <c r="T52" s="170">
        <f>1*T9</f>
        <v>1</v>
      </c>
      <c r="U52" s="170">
        <f t="shared" ref="U52:W52" si="11">1*U9</f>
        <v>1</v>
      </c>
      <c r="V52" s="170">
        <f t="shared" si="11"/>
        <v>1</v>
      </c>
      <c r="W52" s="170">
        <f t="shared" si="11"/>
        <v>1</v>
      </c>
      <c r="X52" s="170"/>
      <c r="Y52" s="170">
        <f>1*Y9</f>
        <v>1</v>
      </c>
      <c r="Z52" s="170">
        <f t="shared" ref="Z52:AB52" si="12">1*Z9</f>
        <v>1</v>
      </c>
      <c r="AA52" s="170">
        <f t="shared" si="12"/>
        <v>1</v>
      </c>
      <c r="AB52" s="170">
        <f t="shared" si="12"/>
        <v>1</v>
      </c>
      <c r="AC52" s="170"/>
      <c r="AD52" s="170">
        <f>1*AD9</f>
        <v>1</v>
      </c>
      <c r="AE52" s="170">
        <f t="shared" ref="AE52:AF52" si="13">1*AE9</f>
        <v>1</v>
      </c>
      <c r="AF52" s="170">
        <f t="shared" si="13"/>
        <v>1</v>
      </c>
      <c r="AG52" s="170"/>
      <c r="AH52" s="170">
        <f>1*AH9</f>
        <v>1</v>
      </c>
      <c r="AI52" s="170">
        <f t="shared" ref="AI52:AJ52" si="14">1*AI9</f>
        <v>1</v>
      </c>
      <c r="AJ52" s="170">
        <f t="shared" si="14"/>
        <v>1</v>
      </c>
      <c r="AK52" s="50" t="s">
        <v>525</v>
      </c>
      <c r="AL52" s="73">
        <v>134000</v>
      </c>
      <c r="AM52" s="63">
        <f>'Import-T7.2019'!F47</f>
        <v>0</v>
      </c>
      <c r="AN52" s="63">
        <f t="shared" si="0"/>
        <v>17</v>
      </c>
      <c r="AO52" s="182">
        <f>'NG T7.2019'!F47</f>
        <v>0</v>
      </c>
      <c r="AP52" s="158">
        <f t="shared" si="1"/>
        <v>133983</v>
      </c>
      <c r="AQ52" s="250" t="s">
        <v>550</v>
      </c>
    </row>
    <row r="53" spans="1:47" ht="15" customHeight="1" x14ac:dyDescent="0.25">
      <c r="A53" s="3">
        <v>44</v>
      </c>
      <c r="B53" s="191" t="s">
        <v>126</v>
      </c>
      <c r="C53" s="89"/>
      <c r="D53" s="89" t="s">
        <v>127</v>
      </c>
      <c r="E53" s="174">
        <f>0.000097*E9</f>
        <v>9.7E-5</v>
      </c>
      <c r="F53" s="174">
        <f t="shared" ref="F53:AJ53" si="15">0.000097*F9</f>
        <v>9.7E-5</v>
      </c>
      <c r="G53" s="174">
        <f t="shared" si="15"/>
        <v>9.7E-5</v>
      </c>
      <c r="H53" s="174">
        <f t="shared" si="15"/>
        <v>9.7E-5</v>
      </c>
      <c r="I53" s="174">
        <f t="shared" si="15"/>
        <v>9.7E-5</v>
      </c>
      <c r="J53" s="174">
        <f t="shared" si="15"/>
        <v>9.7E-5</v>
      </c>
      <c r="K53" s="174">
        <f t="shared" si="15"/>
        <v>9.7E-5</v>
      </c>
      <c r="L53" s="174">
        <f t="shared" si="15"/>
        <v>9.7E-5</v>
      </c>
      <c r="M53" s="174">
        <f t="shared" si="15"/>
        <v>9.7E-5</v>
      </c>
      <c r="N53" s="174">
        <f t="shared" si="15"/>
        <v>9.7E-5</v>
      </c>
      <c r="O53" s="174">
        <f t="shared" si="15"/>
        <v>9.7E-5</v>
      </c>
      <c r="P53" s="174">
        <f t="shared" si="15"/>
        <v>9.7E-5</v>
      </c>
      <c r="Q53" s="174">
        <f t="shared" si="15"/>
        <v>9.7E-5</v>
      </c>
      <c r="R53" s="174">
        <f t="shared" si="15"/>
        <v>9.7E-5</v>
      </c>
      <c r="S53" s="174">
        <f t="shared" si="15"/>
        <v>9.7E-5</v>
      </c>
      <c r="T53" s="174">
        <f t="shared" si="15"/>
        <v>9.7E-5</v>
      </c>
      <c r="U53" s="174">
        <f t="shared" si="15"/>
        <v>9.7E-5</v>
      </c>
      <c r="V53" s="174">
        <f t="shared" si="15"/>
        <v>9.7E-5</v>
      </c>
      <c r="W53" s="174">
        <f t="shared" si="15"/>
        <v>9.7E-5</v>
      </c>
      <c r="X53" s="174">
        <f t="shared" si="15"/>
        <v>9.7E-5</v>
      </c>
      <c r="Y53" s="174">
        <f t="shared" si="15"/>
        <v>9.7E-5</v>
      </c>
      <c r="Z53" s="174">
        <f t="shared" si="15"/>
        <v>9.7E-5</v>
      </c>
      <c r="AA53" s="174">
        <f t="shared" si="15"/>
        <v>9.7E-5</v>
      </c>
      <c r="AB53" s="174">
        <f t="shared" si="15"/>
        <v>9.7E-5</v>
      </c>
      <c r="AC53" s="174">
        <f t="shared" si="15"/>
        <v>9.7E-5</v>
      </c>
      <c r="AD53" s="174">
        <f t="shared" si="15"/>
        <v>9.7E-5</v>
      </c>
      <c r="AE53" s="174">
        <f t="shared" si="15"/>
        <v>9.7E-5</v>
      </c>
      <c r="AF53" s="174">
        <f t="shared" si="15"/>
        <v>9.7E-5</v>
      </c>
      <c r="AG53" s="174">
        <f t="shared" si="15"/>
        <v>9.7E-5</v>
      </c>
      <c r="AH53" s="174">
        <f t="shared" si="15"/>
        <v>9.7E-5</v>
      </c>
      <c r="AI53" s="174">
        <f t="shared" si="15"/>
        <v>9.7E-5</v>
      </c>
      <c r="AJ53" s="174">
        <f t="shared" si="15"/>
        <v>9.7E-5</v>
      </c>
      <c r="AK53" s="51" t="s">
        <v>526</v>
      </c>
      <c r="AL53" s="73">
        <v>3</v>
      </c>
      <c r="AM53" s="63">
        <f>'Import-T7.2019'!F48</f>
        <v>0</v>
      </c>
      <c r="AN53" s="147">
        <f t="shared" si="0"/>
        <v>3.1039999999999991E-3</v>
      </c>
      <c r="AO53" s="182">
        <f>'NG T7.2019'!F48</f>
        <v>0</v>
      </c>
      <c r="AP53" s="148">
        <f t="shared" si="1"/>
        <v>2.996896</v>
      </c>
      <c r="AQ53" s="250" t="s">
        <v>554</v>
      </c>
    </row>
    <row r="54" spans="1:47" ht="15" customHeight="1" x14ac:dyDescent="0.25">
      <c r="A54" s="3">
        <v>45</v>
      </c>
      <c r="B54" s="191" t="s">
        <v>126</v>
      </c>
      <c r="C54" s="90" t="s">
        <v>128</v>
      </c>
      <c r="D54" s="89" t="s">
        <v>129</v>
      </c>
      <c r="E54" s="174">
        <f>0.0000555*E9</f>
        <v>5.5500000000000001E-5</v>
      </c>
      <c r="F54" s="174">
        <f t="shared" ref="F54:AJ54" si="16">0.0000555*F9</f>
        <v>5.5500000000000001E-5</v>
      </c>
      <c r="G54" s="174">
        <f t="shared" si="16"/>
        <v>5.5500000000000001E-5</v>
      </c>
      <c r="H54" s="174">
        <f t="shared" si="16"/>
        <v>5.5500000000000001E-5</v>
      </c>
      <c r="I54" s="174">
        <f t="shared" si="16"/>
        <v>5.5500000000000001E-5</v>
      </c>
      <c r="J54" s="174">
        <f t="shared" si="16"/>
        <v>5.5500000000000001E-5</v>
      </c>
      <c r="K54" s="174">
        <f t="shared" si="16"/>
        <v>5.5500000000000001E-5</v>
      </c>
      <c r="L54" s="174">
        <f t="shared" si="16"/>
        <v>5.5500000000000001E-5</v>
      </c>
      <c r="M54" s="174">
        <f t="shared" si="16"/>
        <v>5.5500000000000001E-5</v>
      </c>
      <c r="N54" s="174">
        <f t="shared" si="16"/>
        <v>5.5500000000000001E-5</v>
      </c>
      <c r="O54" s="174">
        <f t="shared" si="16"/>
        <v>5.5500000000000001E-5</v>
      </c>
      <c r="P54" s="174">
        <f t="shared" si="16"/>
        <v>5.5500000000000001E-5</v>
      </c>
      <c r="Q54" s="174">
        <f t="shared" si="16"/>
        <v>5.5500000000000001E-5</v>
      </c>
      <c r="R54" s="174">
        <f t="shared" si="16"/>
        <v>5.5500000000000001E-5</v>
      </c>
      <c r="S54" s="174">
        <f t="shared" si="16"/>
        <v>5.5500000000000001E-5</v>
      </c>
      <c r="T54" s="174">
        <f t="shared" si="16"/>
        <v>5.5500000000000001E-5</v>
      </c>
      <c r="U54" s="174">
        <f t="shared" si="16"/>
        <v>5.5500000000000001E-5</v>
      </c>
      <c r="V54" s="174">
        <f t="shared" si="16"/>
        <v>5.5500000000000001E-5</v>
      </c>
      <c r="W54" s="174">
        <f t="shared" si="16"/>
        <v>5.5500000000000001E-5</v>
      </c>
      <c r="X54" s="174">
        <f t="shared" si="16"/>
        <v>5.5500000000000001E-5</v>
      </c>
      <c r="Y54" s="174">
        <f t="shared" si="16"/>
        <v>5.5500000000000001E-5</v>
      </c>
      <c r="Z54" s="174">
        <f t="shared" si="16"/>
        <v>5.5500000000000001E-5</v>
      </c>
      <c r="AA54" s="174">
        <f t="shared" si="16"/>
        <v>5.5500000000000001E-5</v>
      </c>
      <c r="AB54" s="174">
        <f t="shared" si="16"/>
        <v>5.5500000000000001E-5</v>
      </c>
      <c r="AC54" s="174">
        <f t="shared" si="16"/>
        <v>5.5500000000000001E-5</v>
      </c>
      <c r="AD54" s="174">
        <f t="shared" si="16"/>
        <v>5.5500000000000001E-5</v>
      </c>
      <c r="AE54" s="174">
        <f t="shared" si="16"/>
        <v>5.5500000000000001E-5</v>
      </c>
      <c r="AF54" s="174">
        <f t="shared" si="16"/>
        <v>5.5500000000000001E-5</v>
      </c>
      <c r="AG54" s="174">
        <f t="shared" si="16"/>
        <v>5.5500000000000001E-5</v>
      </c>
      <c r="AH54" s="174">
        <f t="shared" si="16"/>
        <v>5.5500000000000001E-5</v>
      </c>
      <c r="AI54" s="174">
        <f t="shared" si="16"/>
        <v>5.5500000000000001E-5</v>
      </c>
      <c r="AJ54" s="174">
        <f t="shared" si="16"/>
        <v>5.5500000000000001E-5</v>
      </c>
      <c r="AK54" s="51" t="s">
        <v>526</v>
      </c>
      <c r="AL54" s="73">
        <v>2</v>
      </c>
      <c r="AM54" s="63">
        <f>'Import-T7.2019'!F49</f>
        <v>0</v>
      </c>
      <c r="AN54" s="147">
        <f t="shared" si="0"/>
        <v>1.776E-3</v>
      </c>
      <c r="AO54" s="182">
        <f>'NG T7.2019'!F49</f>
        <v>0</v>
      </c>
      <c r="AP54" s="148">
        <f t="shared" si="1"/>
        <v>1.998224</v>
      </c>
      <c r="AQ54" s="250" t="s">
        <v>554</v>
      </c>
    </row>
    <row r="55" spans="1:47" ht="15" customHeight="1" x14ac:dyDescent="0.25">
      <c r="A55" s="3">
        <v>46</v>
      </c>
      <c r="B55" s="192" t="s">
        <v>130</v>
      </c>
      <c r="C55" s="91" t="s">
        <v>131</v>
      </c>
      <c r="D55" s="92" t="s">
        <v>132</v>
      </c>
      <c r="E55" s="175">
        <f>(0.00048+0.00065)*E9</f>
        <v>1.1299999999999999E-3</v>
      </c>
      <c r="F55" s="175">
        <f>0.00065*F9</f>
        <v>6.4999999999999997E-4</v>
      </c>
      <c r="G55" s="175">
        <f t="shared" ref="G55:AJ55" si="17">0.00065*G9</f>
        <v>6.4999999999999997E-4</v>
      </c>
      <c r="H55" s="175">
        <f t="shared" si="17"/>
        <v>6.4999999999999997E-4</v>
      </c>
      <c r="I55" s="175">
        <f t="shared" si="17"/>
        <v>6.4999999999999997E-4</v>
      </c>
      <c r="J55" s="175">
        <f t="shared" si="17"/>
        <v>6.4999999999999997E-4</v>
      </c>
      <c r="K55" s="175">
        <f t="shared" si="17"/>
        <v>6.4999999999999997E-4</v>
      </c>
      <c r="L55" s="175">
        <f t="shared" si="17"/>
        <v>6.4999999999999997E-4</v>
      </c>
      <c r="M55" s="175">
        <f t="shared" si="17"/>
        <v>6.4999999999999997E-4</v>
      </c>
      <c r="N55" s="175">
        <f t="shared" si="17"/>
        <v>6.4999999999999997E-4</v>
      </c>
      <c r="O55" s="175">
        <f t="shared" si="17"/>
        <v>6.4999999999999997E-4</v>
      </c>
      <c r="P55" s="175">
        <f t="shared" si="17"/>
        <v>6.4999999999999997E-4</v>
      </c>
      <c r="Q55" s="175">
        <f t="shared" si="17"/>
        <v>6.4999999999999997E-4</v>
      </c>
      <c r="R55" s="175">
        <f t="shared" si="17"/>
        <v>6.4999999999999997E-4</v>
      </c>
      <c r="S55" s="175">
        <f t="shared" si="17"/>
        <v>6.4999999999999997E-4</v>
      </c>
      <c r="T55" s="175">
        <f t="shared" si="17"/>
        <v>6.4999999999999997E-4</v>
      </c>
      <c r="U55" s="175">
        <f t="shared" si="17"/>
        <v>6.4999999999999997E-4</v>
      </c>
      <c r="V55" s="175">
        <f t="shared" si="17"/>
        <v>6.4999999999999997E-4</v>
      </c>
      <c r="W55" s="175">
        <f t="shared" si="17"/>
        <v>6.4999999999999997E-4</v>
      </c>
      <c r="X55" s="175">
        <f t="shared" si="17"/>
        <v>6.4999999999999997E-4</v>
      </c>
      <c r="Y55" s="175">
        <f t="shared" si="17"/>
        <v>6.4999999999999997E-4</v>
      </c>
      <c r="Z55" s="175">
        <f t="shared" si="17"/>
        <v>6.4999999999999997E-4</v>
      </c>
      <c r="AA55" s="175">
        <f t="shared" si="17"/>
        <v>6.4999999999999997E-4</v>
      </c>
      <c r="AB55" s="175">
        <f t="shared" si="17"/>
        <v>6.4999999999999997E-4</v>
      </c>
      <c r="AC55" s="175">
        <f t="shared" si="17"/>
        <v>6.4999999999999997E-4</v>
      </c>
      <c r="AD55" s="175">
        <f t="shared" si="17"/>
        <v>6.4999999999999997E-4</v>
      </c>
      <c r="AE55" s="175">
        <f t="shared" si="17"/>
        <v>6.4999999999999997E-4</v>
      </c>
      <c r="AF55" s="175">
        <f t="shared" si="17"/>
        <v>6.4999999999999997E-4</v>
      </c>
      <c r="AG55" s="175">
        <f t="shared" si="17"/>
        <v>6.4999999999999997E-4</v>
      </c>
      <c r="AH55" s="175">
        <f t="shared" si="17"/>
        <v>6.4999999999999997E-4</v>
      </c>
      <c r="AI55" s="175">
        <f t="shared" si="17"/>
        <v>6.4999999999999997E-4</v>
      </c>
      <c r="AJ55" s="175">
        <f t="shared" si="17"/>
        <v>6.4999999999999997E-4</v>
      </c>
      <c r="AK55" s="52" t="s">
        <v>526</v>
      </c>
      <c r="AL55" s="73">
        <v>200</v>
      </c>
      <c r="AM55" s="63">
        <f>'Import-T7.2019'!F50</f>
        <v>0</v>
      </c>
      <c r="AN55" s="150">
        <f t="shared" si="0"/>
        <v>2.1280000000000004E-2</v>
      </c>
      <c r="AO55" s="182">
        <f>'NG T7.2019'!F50</f>
        <v>0</v>
      </c>
      <c r="AP55" s="148">
        <f t="shared" si="1"/>
        <v>199.97872000000001</v>
      </c>
      <c r="AQ55" s="194" t="s">
        <v>555</v>
      </c>
    </row>
    <row r="56" spans="1:47" ht="15" customHeight="1" x14ac:dyDescent="0.25">
      <c r="A56" s="3">
        <v>47</v>
      </c>
      <c r="B56" s="192" t="s">
        <v>130</v>
      </c>
      <c r="C56" s="93" t="s">
        <v>133</v>
      </c>
      <c r="D56" s="94" t="s">
        <v>134</v>
      </c>
      <c r="E56" s="176">
        <f>0.00000385*E9</f>
        <v>3.8500000000000004E-6</v>
      </c>
      <c r="F56" s="176"/>
      <c r="G56" s="176"/>
      <c r="H56" s="176"/>
      <c r="I56" s="176">
        <f>0.00000385*I9</f>
        <v>3.8500000000000004E-6</v>
      </c>
      <c r="J56" s="176"/>
      <c r="K56" s="176"/>
      <c r="L56" s="176">
        <f>0.00000385*L9</f>
        <v>3.8500000000000004E-6</v>
      </c>
      <c r="M56" s="176"/>
      <c r="N56" s="176">
        <f>0.00000182*N9</f>
        <v>1.8199999999999999E-6</v>
      </c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76"/>
      <c r="AH56" s="176"/>
      <c r="AI56" s="176"/>
      <c r="AJ56" s="176"/>
      <c r="AK56" s="52" t="s">
        <v>527</v>
      </c>
      <c r="AL56" s="73">
        <v>12</v>
      </c>
      <c r="AM56" s="63">
        <f>'Import-T7.2019'!F51</f>
        <v>0</v>
      </c>
      <c r="AN56" s="151">
        <f t="shared" si="0"/>
        <v>1.3370000000000001E-5</v>
      </c>
      <c r="AO56" s="182">
        <f>'NG T7.2019'!F51</f>
        <v>0</v>
      </c>
      <c r="AP56" s="156">
        <f t="shared" si="1"/>
        <v>11.99998663</v>
      </c>
      <c r="AQ56" s="250" t="s">
        <v>556</v>
      </c>
    </row>
    <row r="57" spans="1:47" ht="15" customHeight="1" x14ac:dyDescent="0.25">
      <c r="A57" s="3">
        <v>48</v>
      </c>
      <c r="B57" s="192" t="s">
        <v>130</v>
      </c>
      <c r="C57" s="93" t="s">
        <v>135</v>
      </c>
      <c r="D57" s="94" t="s">
        <v>136</v>
      </c>
      <c r="E57" s="176"/>
      <c r="F57" s="176">
        <f>0.00048*F9</f>
        <v>4.8000000000000001E-4</v>
      </c>
      <c r="G57" s="176"/>
      <c r="H57" s="176"/>
      <c r="I57" s="176"/>
      <c r="J57" s="176">
        <f>0.00048*J9</f>
        <v>4.8000000000000001E-4</v>
      </c>
      <c r="K57" s="176"/>
      <c r="L57" s="176"/>
      <c r="M57" s="176"/>
      <c r="N57" s="176"/>
      <c r="O57" s="176">
        <f>0.000226*O9</f>
        <v>2.2599999999999999E-4</v>
      </c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76"/>
      <c r="AE57" s="176"/>
      <c r="AF57" s="176"/>
      <c r="AG57" s="176"/>
      <c r="AH57" s="176"/>
      <c r="AI57" s="176"/>
      <c r="AJ57" s="176"/>
      <c r="AK57" s="52" t="s">
        <v>526</v>
      </c>
      <c r="AL57" s="73">
        <v>1087</v>
      </c>
      <c r="AM57" s="63">
        <f>'Import-T7.2019'!F52</f>
        <v>0</v>
      </c>
      <c r="AN57" s="147">
        <f t="shared" si="0"/>
        <v>1.186E-3</v>
      </c>
      <c r="AO57" s="182">
        <f>'NG T7.2019'!F52</f>
        <v>0</v>
      </c>
      <c r="AP57" s="149">
        <f t="shared" si="1"/>
        <v>1086.998814</v>
      </c>
      <c r="AQ57" s="250" t="s">
        <v>556</v>
      </c>
    </row>
    <row r="58" spans="1:47" ht="15" customHeight="1" x14ac:dyDescent="0.25">
      <c r="A58" s="3">
        <v>49</v>
      </c>
      <c r="B58" s="192" t="s">
        <v>130</v>
      </c>
      <c r="C58" s="93" t="s">
        <v>135</v>
      </c>
      <c r="D58" s="94">
        <v>11495</v>
      </c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>
        <f>0.000226*P9</f>
        <v>2.2599999999999999E-4</v>
      </c>
      <c r="Q58" s="176"/>
      <c r="R58" s="176"/>
      <c r="S58" s="176"/>
      <c r="T58" s="176"/>
      <c r="U58" s="176"/>
      <c r="V58" s="176"/>
      <c r="W58" s="176"/>
      <c r="X58" s="176"/>
      <c r="Y58" s="176"/>
      <c r="Z58" s="176"/>
      <c r="AA58" s="176"/>
      <c r="AB58" s="176"/>
      <c r="AC58" s="176"/>
      <c r="AD58" s="176"/>
      <c r="AE58" s="176"/>
      <c r="AF58" s="176"/>
      <c r="AG58" s="176"/>
      <c r="AH58" s="176"/>
      <c r="AI58" s="176"/>
      <c r="AJ58" s="176"/>
      <c r="AK58" s="52" t="s">
        <v>526</v>
      </c>
      <c r="AL58" s="73">
        <v>300</v>
      </c>
      <c r="AM58" s="63">
        <f>'Import-T7.2019'!F53</f>
        <v>0</v>
      </c>
      <c r="AN58" s="147">
        <f t="shared" si="0"/>
        <v>2.2599999999999999E-4</v>
      </c>
      <c r="AO58" s="182">
        <f>'NG T7.2019'!F53</f>
        <v>0</v>
      </c>
      <c r="AP58" s="149">
        <f t="shared" si="1"/>
        <v>299.999774</v>
      </c>
      <c r="AQ58" s="250" t="s">
        <v>556</v>
      </c>
    </row>
    <row r="59" spans="1:47" ht="15" customHeight="1" x14ac:dyDescent="0.25">
      <c r="A59" s="3">
        <v>50</v>
      </c>
      <c r="B59" s="192" t="s">
        <v>130</v>
      </c>
      <c r="C59" s="93" t="s">
        <v>639</v>
      </c>
      <c r="D59" s="94" t="s">
        <v>137</v>
      </c>
      <c r="E59" s="176"/>
      <c r="F59" s="176"/>
      <c r="G59" s="176">
        <f>0.00048*G9</f>
        <v>4.8000000000000001E-4</v>
      </c>
      <c r="H59" s="176"/>
      <c r="I59" s="176"/>
      <c r="J59" s="176"/>
      <c r="K59" s="176">
        <f>0.00048*K9</f>
        <v>4.8000000000000001E-4</v>
      </c>
      <c r="L59" s="176"/>
      <c r="M59" s="176">
        <f>0.00048*M9</f>
        <v>4.8000000000000001E-4</v>
      </c>
      <c r="N59" s="176"/>
      <c r="O59" s="176"/>
      <c r="P59" s="176"/>
      <c r="Q59" s="176">
        <f>0.000226*Q9</f>
        <v>2.2599999999999999E-4</v>
      </c>
      <c r="R59" s="176"/>
      <c r="S59" s="176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  <c r="AF59" s="176"/>
      <c r="AG59" s="176"/>
      <c r="AH59" s="176"/>
      <c r="AI59" s="176"/>
      <c r="AJ59" s="176"/>
      <c r="AK59" s="52" t="s">
        <v>526</v>
      </c>
      <c r="AL59" s="73">
        <v>250</v>
      </c>
      <c r="AM59" s="63">
        <f>'Import-T7.2019'!F54</f>
        <v>0</v>
      </c>
      <c r="AN59" s="147">
        <f t="shared" si="0"/>
        <v>1.6660000000000002E-3</v>
      </c>
      <c r="AO59" s="182">
        <f>'NG T7.2019'!F54</f>
        <v>0</v>
      </c>
      <c r="AP59" s="149">
        <f t="shared" si="1"/>
        <v>249.998334</v>
      </c>
      <c r="AQ59" s="250" t="s">
        <v>556</v>
      </c>
    </row>
    <row r="60" spans="1:47" ht="15" customHeight="1" x14ac:dyDescent="0.25">
      <c r="A60" s="3">
        <v>51</v>
      </c>
      <c r="B60" s="192" t="s">
        <v>130</v>
      </c>
      <c r="C60" s="93" t="s">
        <v>135</v>
      </c>
      <c r="D60" s="94" t="s">
        <v>138</v>
      </c>
      <c r="E60" s="176"/>
      <c r="F60" s="176"/>
      <c r="G60" s="176"/>
      <c r="H60" s="176">
        <f>0.00048*H9</f>
        <v>4.8000000000000001E-4</v>
      </c>
      <c r="I60" s="176"/>
      <c r="J60" s="176"/>
      <c r="K60" s="176"/>
      <c r="L60" s="176"/>
      <c r="M60" s="176"/>
      <c r="N60" s="176"/>
      <c r="O60" s="176"/>
      <c r="P60" s="176"/>
      <c r="Q60" s="176"/>
      <c r="R60" s="176">
        <f>0.000226*R9</f>
        <v>2.2599999999999999E-4</v>
      </c>
      <c r="S60" s="176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76"/>
      <c r="AH60" s="176"/>
      <c r="AI60" s="176"/>
      <c r="AJ60" s="176"/>
      <c r="AK60" s="52" t="s">
        <v>526</v>
      </c>
      <c r="AL60" s="73">
        <v>175</v>
      </c>
      <c r="AM60" s="63">
        <f>'Import-T7.2019'!F55</f>
        <v>0</v>
      </c>
      <c r="AN60" s="147">
        <f t="shared" si="0"/>
        <v>7.0600000000000003E-4</v>
      </c>
      <c r="AO60" s="182">
        <f>'NG T7.2019'!F55</f>
        <v>0</v>
      </c>
      <c r="AP60" s="149">
        <f t="shared" si="1"/>
        <v>174.99929399999999</v>
      </c>
      <c r="AQ60" s="250" t="s">
        <v>556</v>
      </c>
    </row>
    <row r="61" spans="1:47" ht="15" customHeight="1" x14ac:dyDescent="0.25">
      <c r="A61" s="3">
        <v>52</v>
      </c>
      <c r="B61" s="192" t="s">
        <v>139</v>
      </c>
      <c r="C61" s="91" t="s">
        <v>131</v>
      </c>
      <c r="D61" s="95" t="s">
        <v>140</v>
      </c>
      <c r="E61" s="176">
        <f>(0.0004812+0.00070525+0.00068625)*E9</f>
        <v>1.8726999999999999E-3</v>
      </c>
      <c r="F61" s="176">
        <f t="shared" ref="F61:G61" si="18">(0.0004812+0.00070525+0.00068625)*F9</f>
        <v>1.8726999999999999E-3</v>
      </c>
      <c r="G61" s="176">
        <f t="shared" si="18"/>
        <v>1.8726999999999999E-3</v>
      </c>
      <c r="H61" s="176"/>
      <c r="I61" s="176">
        <f>(0.0004812+0.00070525+0.00068625)*I9</f>
        <v>1.8726999999999999E-3</v>
      </c>
      <c r="J61" s="176">
        <f t="shared" ref="J61:M61" si="19">(0.0004812+0.00070525+0.00068625)*J9</f>
        <v>1.8726999999999999E-3</v>
      </c>
      <c r="K61" s="176">
        <f t="shared" si="19"/>
        <v>1.8726999999999999E-3</v>
      </c>
      <c r="L61" s="176">
        <f t="shared" si="19"/>
        <v>1.8726999999999999E-3</v>
      </c>
      <c r="M61" s="176">
        <f t="shared" si="19"/>
        <v>1.8726999999999999E-3</v>
      </c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176"/>
      <c r="AI61" s="176"/>
      <c r="AJ61" s="176"/>
      <c r="AK61" s="52" t="s">
        <v>526</v>
      </c>
      <c r="AL61" s="73">
        <v>1200</v>
      </c>
      <c r="AM61" s="63">
        <f>'Import-T7.2019'!F56</f>
        <v>0</v>
      </c>
      <c r="AN61" s="147">
        <f t="shared" si="0"/>
        <v>1.4981599999999999E-2</v>
      </c>
      <c r="AO61" s="182">
        <f>'NG T7.2019'!F56</f>
        <v>0</v>
      </c>
      <c r="AP61" s="149">
        <f t="shared" si="1"/>
        <v>1199.9850183999999</v>
      </c>
      <c r="AQ61" s="194" t="s">
        <v>557</v>
      </c>
      <c r="AU61" s="1" t="s">
        <v>598</v>
      </c>
    </row>
    <row r="62" spans="1:47" ht="15" customHeight="1" x14ac:dyDescent="0.25">
      <c r="A62" s="3">
        <v>53</v>
      </c>
      <c r="B62" s="192" t="s">
        <v>139</v>
      </c>
      <c r="C62" s="93" t="s">
        <v>133</v>
      </c>
      <c r="D62" s="94" t="s">
        <v>141</v>
      </c>
      <c r="E62" s="177">
        <f>0.000000014982*E9</f>
        <v>1.4982000000000001E-8</v>
      </c>
      <c r="F62" s="176"/>
      <c r="G62" s="176"/>
      <c r="H62" s="176"/>
      <c r="I62" s="177">
        <f>0.000000014982*I9</f>
        <v>1.4982000000000001E-8</v>
      </c>
      <c r="J62" s="176"/>
      <c r="K62" s="176"/>
      <c r="L62" s="177">
        <f>0.000000014982*L9</f>
        <v>1.4982000000000001E-8</v>
      </c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176"/>
      <c r="Z62" s="176"/>
      <c r="AA62" s="176"/>
      <c r="AB62" s="176"/>
      <c r="AC62" s="176"/>
      <c r="AD62" s="176"/>
      <c r="AE62" s="176"/>
      <c r="AF62" s="176"/>
      <c r="AG62" s="176"/>
      <c r="AH62" s="176"/>
      <c r="AI62" s="176"/>
      <c r="AJ62" s="176"/>
      <c r="AK62" s="52" t="s">
        <v>527</v>
      </c>
      <c r="AL62" s="73">
        <v>8</v>
      </c>
      <c r="AM62" s="63">
        <f>'Import-T7.2019'!F57</f>
        <v>0</v>
      </c>
      <c r="AN62" s="152">
        <f t="shared" si="0"/>
        <v>4.4946000000000004E-8</v>
      </c>
      <c r="AO62" s="182">
        <f>'NG T7.2019'!F57</f>
        <v>0</v>
      </c>
      <c r="AP62" s="153">
        <f t="shared" si="1"/>
        <v>7.9999999550540002</v>
      </c>
      <c r="AQ62" s="250" t="s">
        <v>556</v>
      </c>
    </row>
    <row r="63" spans="1:47" ht="15" customHeight="1" x14ac:dyDescent="0.25">
      <c r="A63" s="3">
        <v>54</v>
      </c>
      <c r="B63" s="192" t="s">
        <v>139</v>
      </c>
      <c r="C63" s="93" t="s">
        <v>133</v>
      </c>
      <c r="D63" s="94" t="s">
        <v>142</v>
      </c>
      <c r="E63" s="176"/>
      <c r="F63" s="177">
        <f>0.000000014982*F9</f>
        <v>1.4982000000000001E-8</v>
      </c>
      <c r="G63" s="176"/>
      <c r="H63" s="176"/>
      <c r="I63" s="176"/>
      <c r="J63" s="177">
        <f>0.000000014982*J9</f>
        <v>1.4982000000000001E-8</v>
      </c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76"/>
      <c r="AI63" s="176"/>
      <c r="AJ63" s="176"/>
      <c r="AK63" s="52" t="s">
        <v>527</v>
      </c>
      <c r="AL63" s="73"/>
      <c r="AM63" s="63">
        <f>'Import-T7.2019'!F58</f>
        <v>0</v>
      </c>
      <c r="AN63" s="152">
        <f t="shared" si="0"/>
        <v>2.9964000000000003E-8</v>
      </c>
      <c r="AO63" s="182">
        <f>'NG T7.2019'!F58</f>
        <v>0</v>
      </c>
      <c r="AP63" s="153">
        <f t="shared" si="1"/>
        <v>-2.9964000000000003E-8</v>
      </c>
      <c r="AQ63" s="250" t="s">
        <v>556</v>
      </c>
    </row>
    <row r="64" spans="1:47" ht="15" customHeight="1" x14ac:dyDescent="0.25">
      <c r="A64" s="3">
        <v>55</v>
      </c>
      <c r="B64" s="192" t="s">
        <v>139</v>
      </c>
      <c r="C64" s="93" t="s">
        <v>133</v>
      </c>
      <c r="D64" s="94" t="s">
        <v>143</v>
      </c>
      <c r="E64" s="176"/>
      <c r="F64" s="176"/>
      <c r="G64" s="177">
        <f>0.000000014982*G9</f>
        <v>1.4982000000000001E-8</v>
      </c>
      <c r="H64" s="176"/>
      <c r="I64" s="176"/>
      <c r="J64" s="176"/>
      <c r="K64" s="177">
        <f>0.000000014982*K9</f>
        <v>1.4982000000000001E-8</v>
      </c>
      <c r="L64" s="176"/>
      <c r="M64" s="177">
        <f>0.000000014982*M9</f>
        <v>1.4982000000000001E-8</v>
      </c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76"/>
      <c r="AI64" s="176"/>
      <c r="AJ64" s="176"/>
      <c r="AK64" s="52" t="s">
        <v>527</v>
      </c>
      <c r="AL64" s="73">
        <v>1</v>
      </c>
      <c r="AM64" s="63">
        <f>'Import-T7.2019'!F59</f>
        <v>0</v>
      </c>
      <c r="AN64" s="152">
        <f t="shared" si="0"/>
        <v>4.4946000000000004E-8</v>
      </c>
      <c r="AO64" s="182">
        <f>'NG T7.2019'!F59</f>
        <v>0</v>
      </c>
      <c r="AP64" s="153">
        <f t="shared" si="1"/>
        <v>0.99999995505399997</v>
      </c>
      <c r="AQ64" s="250" t="s">
        <v>556</v>
      </c>
    </row>
    <row r="65" spans="1:43" ht="15" customHeight="1" x14ac:dyDescent="0.25">
      <c r="A65" s="3">
        <v>56</v>
      </c>
      <c r="B65" s="192" t="s">
        <v>139</v>
      </c>
      <c r="C65" s="93" t="s">
        <v>135</v>
      </c>
      <c r="D65" s="94" t="s">
        <v>144</v>
      </c>
      <c r="E65" s="176"/>
      <c r="F65" s="176"/>
      <c r="G65" s="176"/>
      <c r="H65" s="176">
        <f>(0.0004812+0.00070525+0.00068625)*H9</f>
        <v>1.8726999999999999E-3</v>
      </c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  <c r="AF65" s="176"/>
      <c r="AG65" s="176"/>
      <c r="AH65" s="176"/>
      <c r="AI65" s="176"/>
      <c r="AJ65" s="176"/>
      <c r="AK65" s="52" t="s">
        <v>526</v>
      </c>
      <c r="AL65" s="73">
        <v>100</v>
      </c>
      <c r="AM65" s="63">
        <f>'Import-T7.2019'!F60</f>
        <v>0</v>
      </c>
      <c r="AN65" s="155">
        <f t="shared" si="0"/>
        <v>1.8726999999999999E-3</v>
      </c>
      <c r="AO65" s="182">
        <f>'NG T7.2019'!F60</f>
        <v>0</v>
      </c>
      <c r="AP65" s="154">
        <f t="shared" si="1"/>
        <v>99.998127299999993</v>
      </c>
      <c r="AQ65" s="250" t="s">
        <v>556</v>
      </c>
    </row>
    <row r="66" spans="1:43" ht="15" customHeight="1" x14ac:dyDescent="0.25">
      <c r="A66" s="3">
        <v>57</v>
      </c>
      <c r="B66" s="193" t="s">
        <v>145</v>
      </c>
      <c r="C66" s="93" t="s">
        <v>146</v>
      </c>
      <c r="D66" s="94" t="s">
        <v>147</v>
      </c>
      <c r="E66" s="176">
        <f>(0.00096+0.00054+0.00085)*E9</f>
        <v>2.3500000000000001E-3</v>
      </c>
      <c r="F66" s="176"/>
      <c r="G66" s="176"/>
      <c r="H66" s="176"/>
      <c r="I66" s="176">
        <f>0.00235*I9</f>
        <v>2.3500000000000001E-3</v>
      </c>
      <c r="J66" s="176"/>
      <c r="K66" s="176"/>
      <c r="L66" s="176">
        <f>0.00235*L9</f>
        <v>2.3500000000000001E-3</v>
      </c>
      <c r="M66" s="176"/>
      <c r="N66" s="176">
        <f>(0.00096+0.00085)*N9</f>
        <v>1.81E-3</v>
      </c>
      <c r="O66" s="176"/>
      <c r="P66" s="176"/>
      <c r="Q66" s="176"/>
      <c r="R66" s="176"/>
      <c r="S66" s="176">
        <f>0.00181*S9</f>
        <v>1.81E-3</v>
      </c>
      <c r="T66" s="176"/>
      <c r="U66" s="176"/>
      <c r="V66" s="176"/>
      <c r="W66" s="176"/>
      <c r="X66" s="176">
        <f>0.00181*X9</f>
        <v>1.81E-3</v>
      </c>
      <c r="Y66" s="176"/>
      <c r="Z66" s="176"/>
      <c r="AA66" s="176"/>
      <c r="AB66" s="176"/>
      <c r="AC66" s="176">
        <f>0.00181*AC9</f>
        <v>1.81E-3</v>
      </c>
      <c r="AD66" s="176"/>
      <c r="AE66" s="176"/>
      <c r="AF66" s="176"/>
      <c r="AG66" s="176">
        <f>0.00181*AG9</f>
        <v>1.81E-3</v>
      </c>
      <c r="AH66" s="176"/>
      <c r="AI66" s="176"/>
      <c r="AJ66" s="176"/>
      <c r="AK66" s="52" t="s">
        <v>526</v>
      </c>
      <c r="AL66" s="73">
        <v>200</v>
      </c>
      <c r="AM66" s="63">
        <f>'Import-T7.2019'!F61</f>
        <v>0</v>
      </c>
      <c r="AN66" s="150">
        <f t="shared" si="0"/>
        <v>1.6099999999999996E-2</v>
      </c>
      <c r="AO66" s="182">
        <f>'NG T7.2019'!F61</f>
        <v>0</v>
      </c>
      <c r="AP66" s="154">
        <f t="shared" si="1"/>
        <v>199.98390000000001</v>
      </c>
      <c r="AQ66" s="250" t="s">
        <v>556</v>
      </c>
    </row>
    <row r="67" spans="1:43" ht="15" customHeight="1" x14ac:dyDescent="0.25">
      <c r="A67" s="3">
        <v>58</v>
      </c>
      <c r="B67" s="193" t="s">
        <v>145</v>
      </c>
      <c r="C67" s="93" t="s">
        <v>135</v>
      </c>
      <c r="D67" s="94" t="s">
        <v>148</v>
      </c>
      <c r="E67" s="176"/>
      <c r="F67" s="176">
        <f>(0.00096+0.00054+0.00085)*F9</f>
        <v>2.3500000000000001E-3</v>
      </c>
      <c r="G67" s="176"/>
      <c r="H67" s="176"/>
      <c r="I67" s="176"/>
      <c r="J67" s="176">
        <f>0.00235*J9</f>
        <v>2.3500000000000001E-3</v>
      </c>
      <c r="K67" s="176"/>
      <c r="L67" s="176"/>
      <c r="M67" s="176"/>
      <c r="N67" s="176"/>
      <c r="O67" s="176">
        <f>0.00181*O9</f>
        <v>1.81E-3</v>
      </c>
      <c r="P67" s="176"/>
      <c r="Q67" s="176"/>
      <c r="R67" s="176"/>
      <c r="S67" s="176"/>
      <c r="T67" s="176">
        <f>0.00181*T9</f>
        <v>1.81E-3</v>
      </c>
      <c r="U67" s="176"/>
      <c r="V67" s="176"/>
      <c r="W67" s="176"/>
      <c r="X67" s="176"/>
      <c r="Y67" s="176">
        <f>0.00181*Y9</f>
        <v>1.81E-3</v>
      </c>
      <c r="Z67" s="176"/>
      <c r="AA67" s="176"/>
      <c r="AB67" s="176"/>
      <c r="AC67" s="176"/>
      <c r="AD67" s="176"/>
      <c r="AE67" s="176"/>
      <c r="AF67" s="176"/>
      <c r="AG67" s="176"/>
      <c r="AH67" s="176"/>
      <c r="AI67" s="176"/>
      <c r="AJ67" s="176"/>
      <c r="AK67" s="52" t="s">
        <v>526</v>
      </c>
      <c r="AL67" s="73">
        <v>175</v>
      </c>
      <c r="AM67" s="63">
        <f>'Import-T7.2019'!F62</f>
        <v>0</v>
      </c>
      <c r="AN67" s="150">
        <f t="shared" si="0"/>
        <v>1.013E-2</v>
      </c>
      <c r="AO67" s="182">
        <f>'NG T7.2019'!F62</f>
        <v>0</v>
      </c>
      <c r="AP67" s="154">
        <f t="shared" si="1"/>
        <v>174.98987</v>
      </c>
      <c r="AQ67" s="250" t="s">
        <v>556</v>
      </c>
    </row>
    <row r="68" spans="1:43" ht="15" customHeight="1" x14ac:dyDescent="0.25">
      <c r="A68" s="3">
        <v>59</v>
      </c>
      <c r="B68" s="193" t="s">
        <v>145</v>
      </c>
      <c r="C68" s="93" t="s">
        <v>135</v>
      </c>
      <c r="D68" s="94" t="s">
        <v>149</v>
      </c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>
        <f>0.00181*P9</f>
        <v>1.81E-3</v>
      </c>
      <c r="Q68" s="176"/>
      <c r="R68" s="176"/>
      <c r="S68" s="176"/>
      <c r="T68" s="176"/>
      <c r="U68" s="176"/>
      <c r="V68" s="176">
        <f>0.00181*V9</f>
        <v>1.81E-3</v>
      </c>
      <c r="W68" s="176"/>
      <c r="X68" s="176"/>
      <c r="Y68" s="176"/>
      <c r="Z68" s="176"/>
      <c r="AA68" s="176">
        <f>0.00181*AA9</f>
        <v>1.81E-3</v>
      </c>
      <c r="AB68" s="176"/>
      <c r="AC68" s="176"/>
      <c r="AD68" s="176"/>
      <c r="AE68" s="176">
        <f>0.00181*AE9</f>
        <v>1.81E-3</v>
      </c>
      <c r="AF68" s="176"/>
      <c r="AG68" s="176"/>
      <c r="AH68" s="176"/>
      <c r="AI68" s="176">
        <f>0.00181*AI9</f>
        <v>1.81E-3</v>
      </c>
      <c r="AJ68" s="176"/>
      <c r="AK68" s="52" t="s">
        <v>526</v>
      </c>
      <c r="AL68" s="73">
        <v>325</v>
      </c>
      <c r="AM68" s="63">
        <f>'Import-T7.2019'!F63</f>
        <v>0</v>
      </c>
      <c r="AN68" s="150">
        <f t="shared" si="0"/>
        <v>9.049999999999999E-3</v>
      </c>
      <c r="AO68" s="182">
        <f>'NG T7.2019'!F63</f>
        <v>0</v>
      </c>
      <c r="AP68" s="154">
        <f t="shared" si="1"/>
        <v>324.99095</v>
      </c>
      <c r="AQ68" s="250" t="s">
        <v>556</v>
      </c>
    </row>
    <row r="69" spans="1:43" ht="15" customHeight="1" x14ac:dyDescent="0.25">
      <c r="A69" s="3">
        <v>60</v>
      </c>
      <c r="B69" s="193" t="s">
        <v>145</v>
      </c>
      <c r="C69" s="93" t="s">
        <v>135</v>
      </c>
      <c r="D69" s="94" t="s">
        <v>150</v>
      </c>
      <c r="E69" s="176"/>
      <c r="F69" s="176"/>
      <c r="G69" s="176">
        <f>(0.00096+0.00054+0.00085)*G9</f>
        <v>2.3500000000000001E-3</v>
      </c>
      <c r="H69" s="176"/>
      <c r="I69" s="176"/>
      <c r="J69" s="176"/>
      <c r="K69" s="176">
        <f>0.00235*K9</f>
        <v>2.3500000000000001E-3</v>
      </c>
      <c r="L69" s="176"/>
      <c r="M69" s="176">
        <f>0.00235*M9</f>
        <v>2.3500000000000001E-3</v>
      </c>
      <c r="N69" s="176"/>
      <c r="O69" s="176"/>
      <c r="P69" s="176"/>
      <c r="Q69" s="176">
        <f>0.00181*Q9</f>
        <v>1.81E-3</v>
      </c>
      <c r="R69" s="176"/>
      <c r="S69" s="176"/>
      <c r="T69" s="176"/>
      <c r="U69" s="176"/>
      <c r="V69" s="176"/>
      <c r="W69" s="176">
        <f>0.00181*W9</f>
        <v>1.81E-3</v>
      </c>
      <c r="X69" s="176"/>
      <c r="Y69" s="176"/>
      <c r="Z69" s="176"/>
      <c r="AA69" s="176"/>
      <c r="AB69" s="176">
        <f>0.00181*AB9</f>
        <v>1.81E-3</v>
      </c>
      <c r="AC69" s="176"/>
      <c r="AD69" s="176"/>
      <c r="AE69" s="176"/>
      <c r="AF69" s="176">
        <f>0.00181*AF9</f>
        <v>1.81E-3</v>
      </c>
      <c r="AG69" s="176"/>
      <c r="AH69" s="176"/>
      <c r="AI69" s="176"/>
      <c r="AJ69" s="176">
        <f>0.00181*AJ9</f>
        <v>1.81E-3</v>
      </c>
      <c r="AK69" s="52" t="s">
        <v>526</v>
      </c>
      <c r="AL69" s="73">
        <v>75</v>
      </c>
      <c r="AM69" s="63">
        <f>'Import-T7.2019'!F64</f>
        <v>0</v>
      </c>
      <c r="AN69" s="150">
        <f t="shared" si="0"/>
        <v>1.6099999999999996E-2</v>
      </c>
      <c r="AO69" s="182">
        <f>'NG T7.2019'!F64</f>
        <v>0</v>
      </c>
      <c r="AP69" s="154">
        <f t="shared" si="1"/>
        <v>74.983900000000006</v>
      </c>
      <c r="AQ69" s="250" t="s">
        <v>556</v>
      </c>
    </row>
    <row r="70" spans="1:43" ht="15" customHeight="1" x14ac:dyDescent="0.25">
      <c r="A70" s="3">
        <v>61</v>
      </c>
      <c r="B70" s="193" t="s">
        <v>145</v>
      </c>
      <c r="C70" s="93" t="s">
        <v>135</v>
      </c>
      <c r="D70" s="94" t="s">
        <v>151</v>
      </c>
      <c r="E70" s="176"/>
      <c r="F70" s="176"/>
      <c r="G70" s="176"/>
      <c r="H70" s="176">
        <f>(0.00096+0.00054+0.00085)*H9</f>
        <v>2.3500000000000001E-3</v>
      </c>
      <c r="I70" s="176"/>
      <c r="J70" s="176"/>
      <c r="K70" s="176"/>
      <c r="L70" s="176"/>
      <c r="M70" s="176"/>
      <c r="N70" s="176"/>
      <c r="O70" s="176"/>
      <c r="P70" s="176"/>
      <c r="Q70" s="176"/>
      <c r="R70" s="176">
        <f>0.00181*R9</f>
        <v>1.81E-3</v>
      </c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6"/>
      <c r="AI70" s="176"/>
      <c r="AJ70" s="176"/>
      <c r="AK70" s="52" t="s">
        <v>526</v>
      </c>
      <c r="AL70" s="73">
        <v>88</v>
      </c>
      <c r="AM70" s="63">
        <f>'Import-T7.2019'!F65</f>
        <v>0</v>
      </c>
      <c r="AN70" s="150">
        <f t="shared" si="0"/>
        <v>4.1600000000000005E-3</v>
      </c>
      <c r="AO70" s="182">
        <f>'NG T7.2019'!F65</f>
        <v>0</v>
      </c>
      <c r="AP70" s="154">
        <f t="shared" si="1"/>
        <v>87.995840000000001</v>
      </c>
      <c r="AQ70" s="250" t="s">
        <v>556</v>
      </c>
    </row>
    <row r="71" spans="1:43" ht="15" customHeight="1" x14ac:dyDescent="0.25">
      <c r="A71" s="3">
        <v>62</v>
      </c>
      <c r="B71" s="193" t="s">
        <v>152</v>
      </c>
      <c r="C71" s="91" t="s">
        <v>131</v>
      </c>
      <c r="D71" s="95" t="s">
        <v>153</v>
      </c>
      <c r="E71" s="176">
        <f>(0.55125*2)*E9</f>
        <v>1.1025</v>
      </c>
      <c r="F71" s="176">
        <f t="shared" ref="F71:R71" si="20">(0.55125*2)*F9</f>
        <v>1.1025</v>
      </c>
      <c r="G71" s="176">
        <f t="shared" si="20"/>
        <v>1.1025</v>
      </c>
      <c r="H71" s="176">
        <f t="shared" si="20"/>
        <v>1.1025</v>
      </c>
      <c r="I71" s="176">
        <f t="shared" si="20"/>
        <v>1.1025</v>
      </c>
      <c r="J71" s="176">
        <f t="shared" si="20"/>
        <v>1.1025</v>
      </c>
      <c r="K71" s="176">
        <f t="shared" si="20"/>
        <v>1.1025</v>
      </c>
      <c r="L71" s="176">
        <f t="shared" si="20"/>
        <v>1.1025</v>
      </c>
      <c r="M71" s="176">
        <f t="shared" si="20"/>
        <v>1.1025</v>
      </c>
      <c r="N71" s="176">
        <f t="shared" si="20"/>
        <v>1.1025</v>
      </c>
      <c r="O71" s="176">
        <f t="shared" si="20"/>
        <v>1.1025</v>
      </c>
      <c r="P71" s="176">
        <f t="shared" si="20"/>
        <v>1.1025</v>
      </c>
      <c r="Q71" s="176">
        <f t="shared" si="20"/>
        <v>1.1025</v>
      </c>
      <c r="R71" s="176">
        <f t="shared" si="20"/>
        <v>1.1025</v>
      </c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76"/>
      <c r="AH71" s="176"/>
      <c r="AI71" s="176"/>
      <c r="AJ71" s="176"/>
      <c r="AK71" s="52" t="s">
        <v>526</v>
      </c>
      <c r="AL71" s="73">
        <v>575</v>
      </c>
      <c r="AM71" s="63">
        <f>'Import-T7.2019'!F66</f>
        <v>0</v>
      </c>
      <c r="AN71" s="185">
        <f t="shared" si="0"/>
        <v>15.434999999999995</v>
      </c>
      <c r="AO71" s="182">
        <f>'NG T7.2019'!F66</f>
        <v>0</v>
      </c>
      <c r="AP71" s="154">
        <f t="shared" si="1"/>
        <v>559.56500000000005</v>
      </c>
      <c r="AQ71" s="194" t="s">
        <v>558</v>
      </c>
    </row>
    <row r="72" spans="1:43" ht="15" customHeight="1" x14ac:dyDescent="0.25">
      <c r="A72" s="3">
        <v>63</v>
      </c>
      <c r="B72" s="193" t="s">
        <v>152</v>
      </c>
      <c r="C72" s="91" t="s">
        <v>131</v>
      </c>
      <c r="D72" s="95" t="s">
        <v>154</v>
      </c>
      <c r="E72" s="176">
        <f>(0.64375*2)*E9</f>
        <v>1.2875000000000001</v>
      </c>
      <c r="F72" s="176">
        <f t="shared" ref="F72:R72" si="21">(0.64375*2)*F9</f>
        <v>1.2875000000000001</v>
      </c>
      <c r="G72" s="176">
        <f t="shared" si="21"/>
        <v>1.2875000000000001</v>
      </c>
      <c r="H72" s="176">
        <f t="shared" si="21"/>
        <v>1.2875000000000001</v>
      </c>
      <c r="I72" s="176">
        <f t="shared" si="21"/>
        <v>1.2875000000000001</v>
      </c>
      <c r="J72" s="176">
        <f t="shared" si="21"/>
        <v>1.2875000000000001</v>
      </c>
      <c r="K72" s="176">
        <f t="shared" si="21"/>
        <v>1.2875000000000001</v>
      </c>
      <c r="L72" s="176">
        <f t="shared" si="21"/>
        <v>1.2875000000000001</v>
      </c>
      <c r="M72" s="176">
        <f t="shared" si="21"/>
        <v>1.2875000000000001</v>
      </c>
      <c r="N72" s="176">
        <f t="shared" si="21"/>
        <v>1.2875000000000001</v>
      </c>
      <c r="O72" s="176">
        <f t="shared" si="21"/>
        <v>1.2875000000000001</v>
      </c>
      <c r="P72" s="176">
        <f t="shared" si="21"/>
        <v>1.2875000000000001</v>
      </c>
      <c r="Q72" s="176">
        <f t="shared" si="21"/>
        <v>1.2875000000000001</v>
      </c>
      <c r="R72" s="176">
        <f t="shared" si="21"/>
        <v>1.2875000000000001</v>
      </c>
      <c r="S72" s="176"/>
      <c r="T72" s="176"/>
      <c r="U72" s="176"/>
      <c r="V72" s="176"/>
      <c r="W72" s="176"/>
      <c r="X72" s="176"/>
      <c r="Y72" s="176"/>
      <c r="Z72" s="176"/>
      <c r="AA72" s="176"/>
      <c r="AB72" s="176"/>
      <c r="AC72" s="176"/>
      <c r="AD72" s="176"/>
      <c r="AE72" s="176"/>
      <c r="AF72" s="176"/>
      <c r="AG72" s="176"/>
      <c r="AH72" s="176"/>
      <c r="AI72" s="176"/>
      <c r="AJ72" s="176"/>
      <c r="AK72" s="52" t="s">
        <v>526</v>
      </c>
      <c r="AL72" s="73">
        <v>1875</v>
      </c>
      <c r="AM72" s="63">
        <f>'Import-T7.2019'!F67</f>
        <v>0</v>
      </c>
      <c r="AN72" s="185">
        <f t="shared" si="0"/>
        <v>18.024999999999999</v>
      </c>
      <c r="AO72" s="182">
        <f>'NG T7.2019'!F67</f>
        <v>0</v>
      </c>
      <c r="AP72" s="154">
        <f t="shared" si="1"/>
        <v>1856.9749999999999</v>
      </c>
      <c r="AQ72" s="194" t="s">
        <v>557</v>
      </c>
    </row>
    <row r="73" spans="1:43" ht="15" customHeight="1" x14ac:dyDescent="0.25">
      <c r="A73" s="3">
        <v>64</v>
      </c>
      <c r="B73" s="193" t="s">
        <v>152</v>
      </c>
      <c r="C73" s="93" t="s">
        <v>133</v>
      </c>
      <c r="D73" s="94" t="s">
        <v>155</v>
      </c>
      <c r="E73" s="176">
        <f>0.00000885*E9</f>
        <v>8.85E-6</v>
      </c>
      <c r="F73" s="176"/>
      <c r="G73" s="176"/>
      <c r="H73" s="176"/>
      <c r="I73" s="176">
        <f>0.00000885*I9</f>
        <v>8.85E-6</v>
      </c>
      <c r="J73" s="176"/>
      <c r="K73" s="176"/>
      <c r="L73" s="176">
        <f>0.00000885*L9</f>
        <v>8.85E-6</v>
      </c>
      <c r="M73" s="176"/>
      <c r="N73" s="176">
        <f>0.00000885*N9</f>
        <v>8.85E-6</v>
      </c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76"/>
      <c r="AI73" s="176"/>
      <c r="AJ73" s="176"/>
      <c r="AK73" s="52" t="s">
        <v>527</v>
      </c>
      <c r="AL73" s="73">
        <v>15</v>
      </c>
      <c r="AM73" s="63">
        <f>'Import-T7.2019'!F68</f>
        <v>0</v>
      </c>
      <c r="AN73" s="155">
        <f t="shared" si="0"/>
        <v>3.54E-5</v>
      </c>
      <c r="AO73" s="182">
        <f>'NG T7.2019'!F68</f>
        <v>0</v>
      </c>
      <c r="AP73" s="157">
        <f t="shared" si="1"/>
        <v>14.9999646</v>
      </c>
      <c r="AQ73" s="250" t="s">
        <v>556</v>
      </c>
    </row>
    <row r="74" spans="1:43" ht="15" customHeight="1" x14ac:dyDescent="0.25">
      <c r="A74" s="3">
        <v>65</v>
      </c>
      <c r="B74" s="193" t="s">
        <v>152</v>
      </c>
      <c r="C74" s="93" t="s">
        <v>133</v>
      </c>
      <c r="D74" s="94" t="s">
        <v>156</v>
      </c>
      <c r="E74" s="176">
        <f>0.00001031*E9</f>
        <v>1.031E-5</v>
      </c>
      <c r="F74" s="176"/>
      <c r="G74" s="176"/>
      <c r="H74" s="176"/>
      <c r="I74" s="176">
        <f>0.00001031*I9</f>
        <v>1.031E-5</v>
      </c>
      <c r="J74" s="176"/>
      <c r="K74" s="176"/>
      <c r="L74" s="176">
        <f>0.00001031*L9</f>
        <v>1.031E-5</v>
      </c>
      <c r="M74" s="176"/>
      <c r="N74" s="176">
        <f>0.00001031*N9</f>
        <v>1.031E-5</v>
      </c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H74" s="176"/>
      <c r="AI74" s="176"/>
      <c r="AJ74" s="176"/>
      <c r="AK74" s="52" t="s">
        <v>527</v>
      </c>
      <c r="AL74" s="73">
        <v>14</v>
      </c>
      <c r="AM74" s="63">
        <f>'Import-T7.2019'!F69</f>
        <v>0</v>
      </c>
      <c r="AN74" s="151">
        <f t="shared" si="0"/>
        <v>4.1239999999999998E-5</v>
      </c>
      <c r="AO74" s="182">
        <f>'NG T7.2019'!F69</f>
        <v>0</v>
      </c>
      <c r="AP74" s="156">
        <f t="shared" si="1"/>
        <v>13.99995876</v>
      </c>
      <c r="AQ74" s="250" t="s">
        <v>556</v>
      </c>
    </row>
    <row r="75" spans="1:43" ht="15" customHeight="1" x14ac:dyDescent="0.25">
      <c r="A75" s="3">
        <v>66</v>
      </c>
      <c r="B75" s="193" t="s">
        <v>152</v>
      </c>
      <c r="C75" s="93" t="s">
        <v>133</v>
      </c>
      <c r="D75" s="94" t="s">
        <v>157</v>
      </c>
      <c r="E75" s="176"/>
      <c r="F75" s="176">
        <f>0.00000885*F9</f>
        <v>8.85E-6</v>
      </c>
      <c r="G75" s="176">
        <f>0.00000885*G9</f>
        <v>8.85E-6</v>
      </c>
      <c r="H75" s="176"/>
      <c r="I75" s="176"/>
      <c r="J75" s="176">
        <f>0.00000885*J9</f>
        <v>8.85E-6</v>
      </c>
      <c r="K75" s="176">
        <f>0.00000885*K9</f>
        <v>8.85E-6</v>
      </c>
      <c r="L75" s="176"/>
      <c r="M75" s="176">
        <f>0.00000885*M9</f>
        <v>8.85E-6</v>
      </c>
      <c r="N75" s="176"/>
      <c r="O75" s="176">
        <f>0.00000885*O9</f>
        <v>8.85E-6</v>
      </c>
      <c r="P75" s="176">
        <f>0.00000885*P9</f>
        <v>8.85E-6</v>
      </c>
      <c r="Q75" s="176">
        <f>0.00000885*Q9</f>
        <v>8.85E-6</v>
      </c>
      <c r="R75" s="176"/>
      <c r="S75" s="176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76"/>
      <c r="AH75" s="176"/>
      <c r="AI75" s="176"/>
      <c r="AJ75" s="176"/>
      <c r="AK75" s="52" t="s">
        <v>527</v>
      </c>
      <c r="AL75" s="73">
        <v>14</v>
      </c>
      <c r="AM75" s="63">
        <f>'Import-T7.2019'!F70</f>
        <v>0</v>
      </c>
      <c r="AN75" s="155">
        <f t="shared" ref="AN75:AN93" si="22">SUM(E75:AJ75)</f>
        <v>7.08E-5</v>
      </c>
      <c r="AO75" s="182">
        <f>'NG T7.2019'!F70</f>
        <v>0</v>
      </c>
      <c r="AP75" s="148">
        <f t="shared" ref="AP75:AP93" si="23">AL75+AM75-AN75-AO75</f>
        <v>13.9999292</v>
      </c>
      <c r="AQ75" s="250" t="s">
        <v>556</v>
      </c>
    </row>
    <row r="76" spans="1:43" ht="15" customHeight="1" x14ac:dyDescent="0.25">
      <c r="A76" s="3">
        <v>67</v>
      </c>
      <c r="B76" s="193" t="s">
        <v>152</v>
      </c>
      <c r="C76" s="93" t="s">
        <v>133</v>
      </c>
      <c r="D76" s="94">
        <v>11301</v>
      </c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>
        <f>0.00001031*P9</f>
        <v>1.031E-5</v>
      </c>
      <c r="Q76" s="176"/>
      <c r="R76" s="176"/>
      <c r="S76" s="176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76"/>
      <c r="AH76" s="176"/>
      <c r="AI76" s="176"/>
      <c r="AJ76" s="176"/>
      <c r="AK76" s="52" t="s">
        <v>527</v>
      </c>
      <c r="AL76" s="73"/>
      <c r="AM76" s="63">
        <f>'Import-T7.2019'!F71</f>
        <v>0</v>
      </c>
      <c r="AN76" s="155">
        <f t="shared" si="22"/>
        <v>1.031E-5</v>
      </c>
      <c r="AO76" s="182">
        <f>'NG T7.2019'!F71</f>
        <v>0</v>
      </c>
      <c r="AP76" s="156">
        <f t="shared" si="23"/>
        <v>-1.031E-5</v>
      </c>
      <c r="AQ76" s="250" t="s">
        <v>556</v>
      </c>
    </row>
    <row r="77" spans="1:43" ht="15" customHeight="1" x14ac:dyDescent="0.25">
      <c r="A77" s="3">
        <v>68</v>
      </c>
      <c r="B77" s="193" t="s">
        <v>152</v>
      </c>
      <c r="C77" s="93" t="s">
        <v>133</v>
      </c>
      <c r="D77" s="94">
        <v>51238</v>
      </c>
      <c r="E77" s="176"/>
      <c r="F77" s="176"/>
      <c r="G77" s="176">
        <f>0.00001031*G9</f>
        <v>1.031E-5</v>
      </c>
      <c r="H77" s="176"/>
      <c r="I77" s="176"/>
      <c r="J77" s="176"/>
      <c r="K77" s="176">
        <f>0.00001031*K9</f>
        <v>1.031E-5</v>
      </c>
      <c r="L77" s="176"/>
      <c r="M77" s="176">
        <f>0.00001031*M9</f>
        <v>1.031E-5</v>
      </c>
      <c r="N77" s="176"/>
      <c r="O77" s="176"/>
      <c r="P77" s="176"/>
      <c r="Q77" s="176">
        <f>0.00001031*Q9</f>
        <v>1.031E-5</v>
      </c>
      <c r="R77" s="176"/>
      <c r="S77" s="176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76"/>
      <c r="AH77" s="176"/>
      <c r="AI77" s="176"/>
      <c r="AJ77" s="176"/>
      <c r="AK77" s="52" t="s">
        <v>527</v>
      </c>
      <c r="AL77" s="73">
        <v>5</v>
      </c>
      <c r="AM77" s="63">
        <f>'Import-T7.2019'!F72</f>
        <v>0</v>
      </c>
      <c r="AN77" s="155">
        <f t="shared" si="22"/>
        <v>4.1239999999999998E-5</v>
      </c>
      <c r="AO77" s="182">
        <f>'NG T7.2019'!F72</f>
        <v>0</v>
      </c>
      <c r="AP77" s="157">
        <f t="shared" si="23"/>
        <v>4.9999587600000002</v>
      </c>
      <c r="AQ77" s="250" t="s">
        <v>556</v>
      </c>
    </row>
    <row r="78" spans="1:43" ht="15" customHeight="1" x14ac:dyDescent="0.25">
      <c r="A78" s="3">
        <v>69</v>
      </c>
      <c r="B78" s="193" t="s">
        <v>152</v>
      </c>
      <c r="C78" s="93" t="s">
        <v>133</v>
      </c>
      <c r="D78" s="94" t="s">
        <v>158</v>
      </c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  <c r="AD78" s="176"/>
      <c r="AE78" s="176"/>
      <c r="AF78" s="176"/>
      <c r="AG78" s="176"/>
      <c r="AH78" s="176"/>
      <c r="AI78" s="176"/>
      <c r="AJ78" s="176"/>
      <c r="AK78" s="52" t="s">
        <v>527</v>
      </c>
      <c r="AL78" s="73">
        <v>1</v>
      </c>
      <c r="AM78" s="63">
        <f>'Import-T7.2019'!F73</f>
        <v>0</v>
      </c>
      <c r="AN78" s="182">
        <f t="shared" si="22"/>
        <v>0</v>
      </c>
      <c r="AO78" s="182">
        <f>'NG T7.2019'!F73</f>
        <v>0</v>
      </c>
      <c r="AP78" s="138">
        <f t="shared" si="23"/>
        <v>1</v>
      </c>
      <c r="AQ78" s="250" t="s">
        <v>556</v>
      </c>
    </row>
    <row r="79" spans="1:43" ht="15" customHeight="1" x14ac:dyDescent="0.25">
      <c r="A79" s="3">
        <v>70</v>
      </c>
      <c r="B79" s="193" t="s">
        <v>152</v>
      </c>
      <c r="C79" s="93" t="s">
        <v>133</v>
      </c>
      <c r="D79" s="94" t="s">
        <v>159</v>
      </c>
      <c r="E79" s="176"/>
      <c r="F79" s="176"/>
      <c r="G79" s="176"/>
      <c r="H79" s="176">
        <f>0.00000885*H9</f>
        <v>8.85E-6</v>
      </c>
      <c r="I79" s="176"/>
      <c r="J79" s="176"/>
      <c r="K79" s="176"/>
      <c r="L79" s="176"/>
      <c r="M79" s="176"/>
      <c r="N79" s="176"/>
      <c r="O79" s="176"/>
      <c r="P79" s="176"/>
      <c r="Q79" s="176"/>
      <c r="R79" s="176">
        <f>0.00000885*R9</f>
        <v>8.85E-6</v>
      </c>
      <c r="S79" s="176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76"/>
      <c r="AH79" s="176"/>
      <c r="AI79" s="176"/>
      <c r="AJ79" s="176"/>
      <c r="AK79" s="52" t="s">
        <v>527</v>
      </c>
      <c r="AL79" s="73">
        <v>4</v>
      </c>
      <c r="AM79" s="63">
        <f>'Import-T7.2019'!F74</f>
        <v>0</v>
      </c>
      <c r="AN79" s="155">
        <f t="shared" si="22"/>
        <v>1.77E-5</v>
      </c>
      <c r="AO79" s="182">
        <f>'NG T7.2019'!F74</f>
        <v>0</v>
      </c>
      <c r="AP79" s="157">
        <f t="shared" si="23"/>
        <v>3.9999823000000001</v>
      </c>
      <c r="AQ79" s="250" t="s">
        <v>556</v>
      </c>
    </row>
    <row r="80" spans="1:43" ht="15" customHeight="1" x14ac:dyDescent="0.25">
      <c r="A80" s="3">
        <v>71</v>
      </c>
      <c r="B80" s="193" t="s">
        <v>152</v>
      </c>
      <c r="C80" s="93" t="s">
        <v>133</v>
      </c>
      <c r="D80" s="94" t="s">
        <v>160</v>
      </c>
      <c r="E80" s="176"/>
      <c r="F80" s="176"/>
      <c r="G80" s="176"/>
      <c r="H80" s="176">
        <f>0.00001031*H9</f>
        <v>1.031E-5</v>
      </c>
      <c r="I80" s="176"/>
      <c r="J80" s="176"/>
      <c r="K80" s="176"/>
      <c r="L80" s="176"/>
      <c r="M80" s="176"/>
      <c r="N80" s="176"/>
      <c r="O80" s="176"/>
      <c r="P80" s="176"/>
      <c r="Q80" s="176"/>
      <c r="R80" s="176">
        <f>0.00001031*R9</f>
        <v>1.031E-5</v>
      </c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  <c r="AF80" s="176"/>
      <c r="AG80" s="176"/>
      <c r="AH80" s="176"/>
      <c r="AI80" s="176"/>
      <c r="AJ80" s="176"/>
      <c r="AK80" s="52" t="s">
        <v>527</v>
      </c>
      <c r="AL80" s="73">
        <v>4</v>
      </c>
      <c r="AM80" s="63">
        <f>'Import-T7.2019'!F75</f>
        <v>0</v>
      </c>
      <c r="AN80" s="151">
        <f t="shared" si="22"/>
        <v>2.0619999999999999E-5</v>
      </c>
      <c r="AO80" s="182">
        <f>'NG T7.2019'!F75</f>
        <v>0</v>
      </c>
      <c r="AP80" s="156">
        <f t="shared" si="23"/>
        <v>3.9999793800000001</v>
      </c>
      <c r="AQ80" s="250" t="s">
        <v>556</v>
      </c>
    </row>
    <row r="81" spans="1:43" ht="15" customHeight="1" x14ac:dyDescent="0.25">
      <c r="A81" s="3">
        <v>72</v>
      </c>
      <c r="B81" s="193" t="s">
        <v>161</v>
      </c>
      <c r="C81" s="91"/>
      <c r="D81" s="95" t="s">
        <v>162</v>
      </c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  <c r="S81" s="176"/>
      <c r="T81" s="176"/>
      <c r="U81" s="176"/>
      <c r="V81" s="176"/>
      <c r="W81" s="176"/>
      <c r="X81" s="176"/>
      <c r="Y81" s="176"/>
      <c r="Z81" s="176"/>
      <c r="AA81" s="176"/>
      <c r="AB81" s="176"/>
      <c r="AC81" s="176"/>
      <c r="AD81" s="176"/>
      <c r="AE81" s="176"/>
      <c r="AF81" s="176"/>
      <c r="AG81" s="176"/>
      <c r="AH81" s="176"/>
      <c r="AI81" s="176"/>
      <c r="AJ81" s="176"/>
      <c r="AK81" s="52" t="s">
        <v>526</v>
      </c>
      <c r="AL81" s="73"/>
      <c r="AM81" s="63">
        <f>'Import-T7.2019'!F76</f>
        <v>1000</v>
      </c>
      <c r="AN81" s="182">
        <f t="shared" si="22"/>
        <v>0</v>
      </c>
      <c r="AO81" s="182">
        <f>'NG T7.2019'!F76</f>
        <v>0</v>
      </c>
      <c r="AP81" s="181">
        <f t="shared" si="23"/>
        <v>1000</v>
      </c>
      <c r="AQ81" s="194" t="s">
        <v>559</v>
      </c>
    </row>
    <row r="82" spans="1:43" ht="15" customHeight="1" x14ac:dyDescent="0.25">
      <c r="A82" s="3">
        <v>73</v>
      </c>
      <c r="B82" s="193" t="s">
        <v>161</v>
      </c>
      <c r="C82" s="93" t="s">
        <v>133</v>
      </c>
      <c r="D82" s="94" t="s">
        <v>163</v>
      </c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  <c r="S82" s="176"/>
      <c r="T82" s="176"/>
      <c r="U82" s="176"/>
      <c r="V82" s="176"/>
      <c r="W82" s="176"/>
      <c r="X82" s="176"/>
      <c r="Y82" s="176"/>
      <c r="Z82" s="176"/>
      <c r="AA82" s="176"/>
      <c r="AB82" s="176"/>
      <c r="AC82" s="176"/>
      <c r="AD82" s="176"/>
      <c r="AE82" s="176"/>
      <c r="AF82" s="176"/>
      <c r="AG82" s="176"/>
      <c r="AH82" s="176"/>
      <c r="AI82" s="176"/>
      <c r="AJ82" s="176"/>
      <c r="AK82" s="52" t="s">
        <v>527</v>
      </c>
      <c r="AL82" s="73">
        <v>6</v>
      </c>
      <c r="AM82" s="63">
        <f>'Import-T7.2019'!F77</f>
        <v>0</v>
      </c>
      <c r="AN82" s="182">
        <f t="shared" si="22"/>
        <v>0</v>
      </c>
      <c r="AO82" s="182">
        <f>'NG T7.2019'!F77</f>
        <v>0</v>
      </c>
      <c r="AP82" s="181">
        <f t="shared" si="23"/>
        <v>6</v>
      </c>
      <c r="AQ82" s="250" t="s">
        <v>556</v>
      </c>
    </row>
    <row r="83" spans="1:43" ht="15" customHeight="1" x14ac:dyDescent="0.25">
      <c r="A83" s="3">
        <v>74</v>
      </c>
      <c r="B83" s="193" t="s">
        <v>161</v>
      </c>
      <c r="C83" s="93"/>
      <c r="D83" s="94" t="s">
        <v>164</v>
      </c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176"/>
      <c r="Z83" s="176"/>
      <c r="AA83" s="176"/>
      <c r="AB83" s="176"/>
      <c r="AC83" s="176"/>
      <c r="AD83" s="176"/>
      <c r="AE83" s="176"/>
      <c r="AF83" s="176"/>
      <c r="AG83" s="176"/>
      <c r="AH83" s="176"/>
      <c r="AI83" s="176"/>
      <c r="AJ83" s="176"/>
      <c r="AK83" s="52" t="s">
        <v>526</v>
      </c>
      <c r="AL83" s="73"/>
      <c r="AM83" s="63">
        <f>'Import-T7.2019'!F78</f>
        <v>0</v>
      </c>
      <c r="AN83" s="182">
        <f t="shared" si="22"/>
        <v>0</v>
      </c>
      <c r="AO83" s="182">
        <f>'NG T7.2019'!F78</f>
        <v>0</v>
      </c>
      <c r="AP83" s="181">
        <f t="shared" si="23"/>
        <v>0</v>
      </c>
      <c r="AQ83" s="250" t="s">
        <v>556</v>
      </c>
    </row>
    <row r="84" spans="1:43" ht="15" customHeight="1" x14ac:dyDescent="0.25">
      <c r="A84" s="3">
        <v>75</v>
      </c>
      <c r="B84" s="193" t="s">
        <v>165</v>
      </c>
      <c r="C84" s="93" t="s">
        <v>133</v>
      </c>
      <c r="D84" s="94" t="s">
        <v>166</v>
      </c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  <c r="S84" s="176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76"/>
      <c r="AH84" s="176"/>
      <c r="AI84" s="176"/>
      <c r="AJ84" s="176"/>
      <c r="AK84" s="52" t="s">
        <v>527</v>
      </c>
      <c r="AL84" s="73">
        <v>3</v>
      </c>
      <c r="AM84" s="63">
        <f>'Import-T7.2019'!F79</f>
        <v>0</v>
      </c>
      <c r="AN84" s="182">
        <f t="shared" si="22"/>
        <v>0</v>
      </c>
      <c r="AO84" s="182">
        <f>'NG T7.2019'!F79</f>
        <v>0</v>
      </c>
      <c r="AP84" s="181">
        <f t="shared" si="23"/>
        <v>3</v>
      </c>
      <c r="AQ84" s="250" t="s">
        <v>556</v>
      </c>
    </row>
    <row r="85" spans="1:43" ht="15" customHeight="1" x14ac:dyDescent="0.25">
      <c r="A85" s="3">
        <v>76</v>
      </c>
      <c r="B85" s="193" t="s">
        <v>165</v>
      </c>
      <c r="C85" s="93" t="s">
        <v>133</v>
      </c>
      <c r="D85" s="94" t="s">
        <v>167</v>
      </c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52" t="s">
        <v>527</v>
      </c>
      <c r="AL85" s="73">
        <v>5</v>
      </c>
      <c r="AM85" s="63">
        <f>'Import-T7.2019'!F80</f>
        <v>0</v>
      </c>
      <c r="AN85" s="182">
        <f t="shared" si="22"/>
        <v>0</v>
      </c>
      <c r="AO85" s="182">
        <f>'NG T7.2019'!F80</f>
        <v>0</v>
      </c>
      <c r="AP85" s="181">
        <f t="shared" si="23"/>
        <v>5</v>
      </c>
      <c r="AQ85" s="250" t="s">
        <v>638</v>
      </c>
    </row>
    <row r="86" spans="1:43" ht="15" customHeight="1" x14ac:dyDescent="0.25">
      <c r="A86" s="3">
        <v>77</v>
      </c>
      <c r="B86" s="193" t="s">
        <v>165</v>
      </c>
      <c r="C86" s="93" t="s">
        <v>133</v>
      </c>
      <c r="D86" s="94" t="s">
        <v>168</v>
      </c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  <c r="AF86" s="176"/>
      <c r="AG86" s="176"/>
      <c r="AH86" s="176"/>
      <c r="AI86" s="176"/>
      <c r="AJ86" s="176"/>
      <c r="AK86" s="52" t="s">
        <v>527</v>
      </c>
      <c r="AL86" s="73">
        <v>8</v>
      </c>
      <c r="AM86" s="63">
        <f>'Import-T7.2019'!F81</f>
        <v>0</v>
      </c>
      <c r="AN86" s="182">
        <f t="shared" si="22"/>
        <v>0</v>
      </c>
      <c r="AO86" s="182">
        <f>'NG T7.2019'!F81</f>
        <v>0</v>
      </c>
      <c r="AP86" s="181">
        <f t="shared" si="23"/>
        <v>8</v>
      </c>
      <c r="AQ86" s="250" t="s">
        <v>556</v>
      </c>
    </row>
    <row r="87" spans="1:43" ht="15" customHeight="1" x14ac:dyDescent="0.25">
      <c r="A87" s="3">
        <v>78</v>
      </c>
      <c r="B87" s="193" t="s">
        <v>165</v>
      </c>
      <c r="C87" s="93" t="s">
        <v>133</v>
      </c>
      <c r="D87" s="94" t="s">
        <v>169</v>
      </c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76"/>
      <c r="AI87" s="176"/>
      <c r="AJ87" s="176"/>
      <c r="AK87" s="52" t="s">
        <v>527</v>
      </c>
      <c r="AL87" s="73">
        <v>8</v>
      </c>
      <c r="AM87" s="63">
        <f>'Import-T7.2019'!F82</f>
        <v>0</v>
      </c>
      <c r="AN87" s="182">
        <f t="shared" si="22"/>
        <v>0</v>
      </c>
      <c r="AO87" s="182">
        <f>'NG T7.2019'!F82</f>
        <v>0</v>
      </c>
      <c r="AP87" s="181">
        <f t="shared" si="23"/>
        <v>8</v>
      </c>
      <c r="AQ87" s="250" t="s">
        <v>556</v>
      </c>
    </row>
    <row r="88" spans="1:43" ht="15" customHeight="1" x14ac:dyDescent="0.25">
      <c r="A88" s="3">
        <v>79</v>
      </c>
      <c r="B88" s="193" t="s">
        <v>165</v>
      </c>
      <c r="C88" s="93" t="s">
        <v>133</v>
      </c>
      <c r="D88" s="94" t="s">
        <v>170</v>
      </c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  <c r="S88" s="176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76"/>
      <c r="AH88" s="176"/>
      <c r="AI88" s="176"/>
      <c r="AJ88" s="176"/>
      <c r="AK88" s="52" t="s">
        <v>527</v>
      </c>
      <c r="AL88" s="73">
        <v>8</v>
      </c>
      <c r="AM88" s="63">
        <f>'Import-T7.2019'!F83</f>
        <v>0</v>
      </c>
      <c r="AN88" s="182">
        <f t="shared" si="22"/>
        <v>0</v>
      </c>
      <c r="AO88" s="182">
        <f>'NG T7.2019'!F83</f>
        <v>0</v>
      </c>
      <c r="AP88" s="181">
        <f t="shared" si="23"/>
        <v>8</v>
      </c>
      <c r="AQ88" s="250" t="s">
        <v>556</v>
      </c>
    </row>
    <row r="89" spans="1:43" ht="15" customHeight="1" x14ac:dyDescent="0.25">
      <c r="A89" s="3">
        <v>80</v>
      </c>
      <c r="B89" s="18"/>
      <c r="C89" s="91"/>
      <c r="D89" s="96" t="s">
        <v>171</v>
      </c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  <c r="R89" s="178"/>
      <c r="S89" s="178"/>
      <c r="T89" s="178"/>
      <c r="U89" s="178"/>
      <c r="V89" s="178"/>
      <c r="W89" s="178"/>
      <c r="X89" s="178"/>
      <c r="Y89" s="178"/>
      <c r="Z89" s="178"/>
      <c r="AA89" s="178"/>
      <c r="AB89" s="178"/>
      <c r="AC89" s="178"/>
      <c r="AD89" s="178"/>
      <c r="AE89" s="178"/>
      <c r="AF89" s="178"/>
      <c r="AG89" s="178"/>
      <c r="AH89" s="178"/>
      <c r="AI89" s="178"/>
      <c r="AJ89" s="178"/>
      <c r="AK89" s="70" t="s">
        <v>526</v>
      </c>
      <c r="AL89" s="74">
        <v>958.2</v>
      </c>
      <c r="AM89" s="63">
        <f>'Import-T7.2019'!F84</f>
        <v>0</v>
      </c>
      <c r="AN89" s="182">
        <f t="shared" si="22"/>
        <v>0</v>
      </c>
      <c r="AO89" s="182">
        <f>'NG T7.2019'!F84</f>
        <v>0</v>
      </c>
      <c r="AP89" s="181">
        <f t="shared" si="23"/>
        <v>958.2</v>
      </c>
      <c r="AQ89" s="250" t="s">
        <v>560</v>
      </c>
    </row>
    <row r="90" spans="1:43" ht="15" customHeight="1" x14ac:dyDescent="0.25">
      <c r="A90" s="3">
        <v>81</v>
      </c>
      <c r="B90" s="18"/>
      <c r="C90" s="91"/>
      <c r="D90" s="97" t="s">
        <v>172</v>
      </c>
      <c r="E90" s="178"/>
      <c r="F90" s="178"/>
      <c r="G90" s="178"/>
      <c r="H90" s="178"/>
      <c r="I90" s="178">
        <f>0.00972*I9</f>
        <v>9.7199999999999995E-3</v>
      </c>
      <c r="J90" s="178">
        <f>0.00972*J9</f>
        <v>9.7199999999999995E-3</v>
      </c>
      <c r="K90" s="178">
        <f t="shared" ref="K90:M90" si="24">0.00972*K9</f>
        <v>9.7199999999999995E-3</v>
      </c>
      <c r="L90" s="178">
        <f t="shared" si="24"/>
        <v>9.7199999999999995E-3</v>
      </c>
      <c r="M90" s="178">
        <f t="shared" si="24"/>
        <v>9.7199999999999995E-3</v>
      </c>
      <c r="N90" s="178"/>
      <c r="O90" s="178"/>
      <c r="P90" s="178"/>
      <c r="Q90" s="178"/>
      <c r="R90" s="178"/>
      <c r="S90" s="178"/>
      <c r="T90" s="178"/>
      <c r="U90" s="178"/>
      <c r="V90" s="178"/>
      <c r="W90" s="178"/>
      <c r="X90" s="178"/>
      <c r="Y90" s="178"/>
      <c r="Z90" s="178"/>
      <c r="AA90" s="178"/>
      <c r="AB90" s="178"/>
      <c r="AC90" s="178"/>
      <c r="AD90" s="178"/>
      <c r="AE90" s="178"/>
      <c r="AF90" s="178"/>
      <c r="AG90" s="178"/>
      <c r="AH90" s="178"/>
      <c r="AI90" s="178"/>
      <c r="AJ90" s="178"/>
      <c r="AK90" s="70" t="s">
        <v>526</v>
      </c>
      <c r="AL90" s="74">
        <v>195.9</v>
      </c>
      <c r="AM90" s="63">
        <f>'Import-T7.2019'!F85</f>
        <v>0</v>
      </c>
      <c r="AN90" s="196">
        <f t="shared" si="22"/>
        <v>4.8599999999999997E-2</v>
      </c>
      <c r="AO90" s="182">
        <f>'NG T7.2019'!F85</f>
        <v>0</v>
      </c>
      <c r="AP90" s="149">
        <f t="shared" si="23"/>
        <v>195.85140000000001</v>
      </c>
      <c r="AQ90" s="250" t="s">
        <v>560</v>
      </c>
    </row>
    <row r="91" spans="1:43" ht="15" customHeight="1" x14ac:dyDescent="0.25">
      <c r="A91" s="3">
        <v>82</v>
      </c>
      <c r="B91" s="18"/>
      <c r="C91" s="91"/>
      <c r="D91" s="96" t="s">
        <v>173</v>
      </c>
      <c r="E91" s="178">
        <f>0.00833*E9</f>
        <v>8.3300000000000006E-3</v>
      </c>
      <c r="F91" s="178">
        <f t="shared" ref="F91:H91" si="25">0.00833*F9</f>
        <v>8.3300000000000006E-3</v>
      </c>
      <c r="G91" s="178">
        <f t="shared" si="25"/>
        <v>8.3300000000000006E-3</v>
      </c>
      <c r="H91" s="178">
        <f t="shared" si="25"/>
        <v>8.3300000000000006E-3</v>
      </c>
      <c r="I91" s="178"/>
      <c r="J91" s="178"/>
      <c r="K91" s="178"/>
      <c r="L91" s="178"/>
      <c r="M91" s="178"/>
      <c r="N91" s="178">
        <f>0.00833*N9</f>
        <v>8.3300000000000006E-3</v>
      </c>
      <c r="O91" s="178">
        <f t="shared" ref="O91:AB91" si="26">0.00833*O9</f>
        <v>8.3300000000000006E-3</v>
      </c>
      <c r="P91" s="178">
        <f t="shared" si="26"/>
        <v>8.3300000000000006E-3</v>
      </c>
      <c r="Q91" s="178">
        <f t="shared" si="26"/>
        <v>8.3300000000000006E-3</v>
      </c>
      <c r="R91" s="178">
        <f t="shared" si="26"/>
        <v>8.3300000000000006E-3</v>
      </c>
      <c r="S91" s="178">
        <f t="shared" si="26"/>
        <v>8.3300000000000006E-3</v>
      </c>
      <c r="T91" s="178">
        <f t="shared" si="26"/>
        <v>8.3300000000000006E-3</v>
      </c>
      <c r="U91" s="178">
        <f t="shared" si="26"/>
        <v>8.3300000000000006E-3</v>
      </c>
      <c r="V91" s="178">
        <f t="shared" si="26"/>
        <v>8.3300000000000006E-3</v>
      </c>
      <c r="W91" s="178">
        <f t="shared" si="26"/>
        <v>8.3300000000000006E-3</v>
      </c>
      <c r="X91" s="178">
        <f t="shared" si="26"/>
        <v>8.3300000000000006E-3</v>
      </c>
      <c r="Y91" s="178">
        <f t="shared" si="26"/>
        <v>8.3300000000000006E-3</v>
      </c>
      <c r="Z91" s="178">
        <f t="shared" si="26"/>
        <v>8.3300000000000006E-3</v>
      </c>
      <c r="AA91" s="178">
        <f t="shared" si="26"/>
        <v>8.3300000000000006E-3</v>
      </c>
      <c r="AB91" s="178">
        <f t="shared" si="26"/>
        <v>8.3300000000000006E-3</v>
      </c>
      <c r="AC91" s="178"/>
      <c r="AD91" s="178"/>
      <c r="AE91" s="178"/>
      <c r="AF91" s="178"/>
      <c r="AG91" s="178"/>
      <c r="AH91" s="178"/>
      <c r="AI91" s="178"/>
      <c r="AJ91" s="178"/>
      <c r="AK91" s="70" t="s">
        <v>526</v>
      </c>
      <c r="AL91" s="74">
        <v>2529.6</v>
      </c>
      <c r="AM91" s="63">
        <f>'Import-T7.2019'!F86</f>
        <v>0</v>
      </c>
      <c r="AN91" s="150">
        <f t="shared" si="22"/>
        <v>0.15827000000000005</v>
      </c>
      <c r="AO91" s="182">
        <f>'NG T7.2019'!F86</f>
        <v>0</v>
      </c>
      <c r="AP91" s="149">
        <f t="shared" si="23"/>
        <v>2529.44173</v>
      </c>
      <c r="AQ91" s="250" t="s">
        <v>560</v>
      </c>
    </row>
    <row r="92" spans="1:43" ht="15" customHeight="1" x14ac:dyDescent="0.25">
      <c r="A92" s="3">
        <v>83</v>
      </c>
      <c r="B92" s="64"/>
      <c r="C92" s="98"/>
      <c r="D92" s="99" t="s">
        <v>174</v>
      </c>
      <c r="E92" s="179">
        <f>0.0015625*E9</f>
        <v>1.5625000000000001E-3</v>
      </c>
      <c r="F92" s="179">
        <f t="shared" ref="F92:H92" si="27">0.0015625*F9</f>
        <v>1.5625000000000001E-3</v>
      </c>
      <c r="G92" s="179">
        <f t="shared" si="27"/>
        <v>1.5625000000000001E-3</v>
      </c>
      <c r="H92" s="179">
        <f t="shared" si="27"/>
        <v>1.5625000000000001E-3</v>
      </c>
      <c r="I92" s="179"/>
      <c r="J92" s="179"/>
      <c r="K92" s="179"/>
      <c r="L92" s="179"/>
      <c r="M92" s="179"/>
      <c r="N92" s="179">
        <f>0.0015625*N9</f>
        <v>1.5625000000000001E-3</v>
      </c>
      <c r="O92" s="179">
        <f t="shared" ref="O92:AJ92" si="28">0.0015625*O9</f>
        <v>1.5625000000000001E-3</v>
      </c>
      <c r="P92" s="179">
        <f t="shared" si="28"/>
        <v>1.5625000000000001E-3</v>
      </c>
      <c r="Q92" s="179">
        <f t="shared" si="28"/>
        <v>1.5625000000000001E-3</v>
      </c>
      <c r="R92" s="179">
        <f t="shared" si="28"/>
        <v>1.5625000000000001E-3</v>
      </c>
      <c r="S92" s="179">
        <f t="shared" si="28"/>
        <v>1.5625000000000001E-3</v>
      </c>
      <c r="T92" s="179">
        <f t="shared" si="28"/>
        <v>1.5625000000000001E-3</v>
      </c>
      <c r="U92" s="179">
        <f t="shared" si="28"/>
        <v>1.5625000000000001E-3</v>
      </c>
      <c r="V92" s="179">
        <f t="shared" si="28"/>
        <v>1.5625000000000001E-3</v>
      </c>
      <c r="W92" s="179">
        <f t="shared" si="28"/>
        <v>1.5625000000000001E-3</v>
      </c>
      <c r="X92" s="179">
        <f t="shared" si="28"/>
        <v>1.5625000000000001E-3</v>
      </c>
      <c r="Y92" s="179">
        <f t="shared" si="28"/>
        <v>1.5625000000000001E-3</v>
      </c>
      <c r="Z92" s="179">
        <f t="shared" si="28"/>
        <v>1.5625000000000001E-3</v>
      </c>
      <c r="AA92" s="179">
        <f t="shared" si="28"/>
        <v>1.5625000000000001E-3</v>
      </c>
      <c r="AB92" s="179">
        <f t="shared" si="28"/>
        <v>1.5625000000000001E-3</v>
      </c>
      <c r="AC92" s="179">
        <f t="shared" si="28"/>
        <v>1.5625000000000001E-3</v>
      </c>
      <c r="AD92" s="179">
        <f t="shared" si="28"/>
        <v>1.5625000000000001E-3</v>
      </c>
      <c r="AE92" s="179">
        <f t="shared" si="28"/>
        <v>1.5625000000000001E-3</v>
      </c>
      <c r="AF92" s="179">
        <f t="shared" si="28"/>
        <v>1.5625000000000001E-3</v>
      </c>
      <c r="AG92" s="179">
        <f t="shared" si="28"/>
        <v>1.5625000000000001E-3</v>
      </c>
      <c r="AH92" s="179">
        <f t="shared" si="28"/>
        <v>1.5625000000000001E-3</v>
      </c>
      <c r="AI92" s="179">
        <f t="shared" si="28"/>
        <v>1.5625000000000001E-3</v>
      </c>
      <c r="AJ92" s="179">
        <f t="shared" si="28"/>
        <v>1.5625000000000001E-3</v>
      </c>
      <c r="AK92" s="70" t="s">
        <v>526</v>
      </c>
      <c r="AL92" s="74">
        <v>100.9</v>
      </c>
      <c r="AM92" s="63">
        <f>'Import-T7.2019'!F87</f>
        <v>0</v>
      </c>
      <c r="AN92" s="155">
        <f t="shared" si="22"/>
        <v>4.2187500000000017E-2</v>
      </c>
      <c r="AO92" s="182">
        <f>'NG T7.2019'!F87</f>
        <v>0</v>
      </c>
      <c r="AP92" s="157">
        <f t="shared" si="23"/>
        <v>100.85781250000001</v>
      </c>
      <c r="AQ92" s="250" t="s">
        <v>560</v>
      </c>
    </row>
    <row r="93" spans="1:43" ht="15" customHeight="1" x14ac:dyDescent="0.25">
      <c r="A93" s="3">
        <v>84</v>
      </c>
      <c r="B93" s="18"/>
      <c r="C93" s="91"/>
      <c r="D93" s="97" t="s">
        <v>175</v>
      </c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70" t="s">
        <v>526</v>
      </c>
      <c r="AL93" s="74">
        <v>600</v>
      </c>
      <c r="AM93" s="63">
        <f>'Import-T7.2019'!F88</f>
        <v>0</v>
      </c>
      <c r="AN93" s="63">
        <f t="shared" si="22"/>
        <v>0</v>
      </c>
      <c r="AO93" s="182">
        <f>'NG T7.2019'!F88</f>
        <v>0</v>
      </c>
      <c r="AP93" s="138">
        <f t="shared" si="23"/>
        <v>600</v>
      </c>
      <c r="AQ93" s="250" t="s">
        <v>560</v>
      </c>
    </row>
    <row r="94" spans="1:43" ht="27.6" customHeight="1" x14ac:dyDescent="0.25">
      <c r="A94" s="261" t="s">
        <v>589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62"/>
      <c r="S94" s="262"/>
      <c r="T94" s="262"/>
      <c r="U94" s="262"/>
      <c r="V94" s="262"/>
      <c r="W94" s="262"/>
      <c r="X94" s="262"/>
      <c r="Y94" s="262"/>
      <c r="Z94" s="262"/>
      <c r="AA94" s="262"/>
      <c r="AB94" s="262"/>
      <c r="AC94" s="262"/>
      <c r="AD94" s="262"/>
      <c r="AE94" s="262"/>
      <c r="AF94" s="262"/>
      <c r="AG94" s="262"/>
      <c r="AH94" s="262"/>
      <c r="AI94" s="262"/>
      <c r="AJ94" s="262"/>
      <c r="AK94" s="262"/>
      <c r="AL94" s="262"/>
      <c r="AM94" s="262"/>
      <c r="AN94" s="262"/>
      <c r="AO94" s="262"/>
      <c r="AP94" s="262"/>
      <c r="AQ94" s="131"/>
    </row>
    <row r="95" spans="1:43" ht="15" customHeight="1" x14ac:dyDescent="0.25">
      <c r="A95" s="3">
        <v>1</v>
      </c>
      <c r="B95" s="188" t="s">
        <v>576</v>
      </c>
      <c r="C95" s="132" t="s">
        <v>178</v>
      </c>
      <c r="D95" s="133" t="s">
        <v>179</v>
      </c>
      <c r="E95" s="161">
        <f>1*E9</f>
        <v>1</v>
      </c>
      <c r="F95" s="161"/>
      <c r="G95" s="161"/>
      <c r="H95" s="161"/>
      <c r="I95" s="161">
        <f>1*I9</f>
        <v>1</v>
      </c>
      <c r="J95" s="161"/>
      <c r="K95" s="161"/>
      <c r="L95" s="161">
        <f>1*L9</f>
        <v>1</v>
      </c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W95" s="161"/>
      <c r="X95" s="161"/>
      <c r="Y95" s="161"/>
      <c r="Z95" s="161"/>
      <c r="AA95" s="161"/>
      <c r="AB95" s="161"/>
      <c r="AC95" s="161"/>
      <c r="AD95" s="161"/>
      <c r="AE95" s="161"/>
      <c r="AF95" s="161"/>
      <c r="AG95" s="161"/>
      <c r="AH95" s="161"/>
      <c r="AI95" s="161"/>
      <c r="AJ95" s="161"/>
      <c r="AK95" s="71" t="s">
        <v>525</v>
      </c>
      <c r="AL95" s="73">
        <v>6329</v>
      </c>
      <c r="AM95" s="63">
        <f>'Import-T7.2019'!F90</f>
        <v>3000</v>
      </c>
      <c r="AN95" s="182">
        <f>SUM(E95:AJ95)</f>
        <v>3</v>
      </c>
      <c r="AO95" s="182">
        <f>'NG T7.2019'!F90</f>
        <v>0</v>
      </c>
      <c r="AP95" s="181">
        <f>AL95+AM95-AN95-AO95</f>
        <v>9326</v>
      </c>
      <c r="AQ95" s="194" t="s">
        <v>552</v>
      </c>
    </row>
    <row r="96" spans="1:43" ht="15" customHeight="1" x14ac:dyDescent="0.25">
      <c r="A96" s="3">
        <v>2</v>
      </c>
      <c r="B96" s="188" t="s">
        <v>576</v>
      </c>
      <c r="C96" s="134" t="s">
        <v>180</v>
      </c>
      <c r="D96" s="135" t="s">
        <v>181</v>
      </c>
      <c r="E96" s="162"/>
      <c r="F96" s="162">
        <f>1*F9</f>
        <v>1</v>
      </c>
      <c r="G96" s="162"/>
      <c r="H96" s="162"/>
      <c r="I96" s="162"/>
      <c r="J96" s="162">
        <f>1*J9</f>
        <v>1</v>
      </c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72" t="s">
        <v>525</v>
      </c>
      <c r="AL96" s="73">
        <v>810</v>
      </c>
      <c r="AM96" s="63">
        <f>'Import-T7.2019'!F91</f>
        <v>0</v>
      </c>
      <c r="AN96" s="182">
        <f t="shared" ref="AN96:AN159" si="29">SUM(E96:AJ96)</f>
        <v>2</v>
      </c>
      <c r="AO96" s="182">
        <f>'NG T7.2019'!F91</f>
        <v>0</v>
      </c>
      <c r="AP96" s="181">
        <f t="shared" ref="AP96:AP159" si="30">AL96+AM96-AN96-AO96</f>
        <v>808</v>
      </c>
      <c r="AQ96" s="194" t="s">
        <v>552</v>
      </c>
    </row>
    <row r="97" spans="1:43" ht="15" customHeight="1" x14ac:dyDescent="0.25">
      <c r="A97" s="3">
        <v>3</v>
      </c>
      <c r="B97" s="188" t="s">
        <v>576</v>
      </c>
      <c r="C97" s="134" t="s">
        <v>182</v>
      </c>
      <c r="D97" s="136" t="s">
        <v>183</v>
      </c>
      <c r="E97" s="163"/>
      <c r="F97" s="163"/>
      <c r="G97" s="163">
        <f>1*G9</f>
        <v>1</v>
      </c>
      <c r="H97" s="163"/>
      <c r="I97" s="163"/>
      <c r="J97" s="163"/>
      <c r="K97" s="163">
        <f>1*K9</f>
        <v>1</v>
      </c>
      <c r="L97" s="163"/>
      <c r="M97" s="163">
        <f>1*M9</f>
        <v>1</v>
      </c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3"/>
      <c r="AE97" s="163"/>
      <c r="AF97" s="163"/>
      <c r="AG97" s="163"/>
      <c r="AH97" s="163"/>
      <c r="AI97" s="163"/>
      <c r="AJ97" s="163"/>
      <c r="AK97" s="72" t="s">
        <v>525</v>
      </c>
      <c r="AL97" s="73">
        <v>10450</v>
      </c>
      <c r="AM97" s="63">
        <f>'Import-T7.2019'!F92</f>
        <v>2000</v>
      </c>
      <c r="AN97" s="182">
        <f t="shared" si="29"/>
        <v>3</v>
      </c>
      <c r="AO97" s="182">
        <f>'NG T7.2019'!F92</f>
        <v>0</v>
      </c>
      <c r="AP97" s="181">
        <f t="shared" si="30"/>
        <v>12447</v>
      </c>
      <c r="AQ97" s="194" t="s">
        <v>552</v>
      </c>
    </row>
    <row r="98" spans="1:43" ht="15" customHeight="1" x14ac:dyDescent="0.25">
      <c r="A98" s="3">
        <v>4</v>
      </c>
      <c r="B98" s="188" t="s">
        <v>576</v>
      </c>
      <c r="C98" s="134" t="s">
        <v>184</v>
      </c>
      <c r="D98" s="137" t="s">
        <v>185</v>
      </c>
      <c r="E98" s="164"/>
      <c r="F98" s="164"/>
      <c r="G98" s="164"/>
      <c r="H98" s="164">
        <f>1*H9</f>
        <v>1</v>
      </c>
      <c r="I98" s="164"/>
      <c r="J98" s="164"/>
      <c r="K98" s="164"/>
      <c r="L98" s="164"/>
      <c r="M98" s="164"/>
      <c r="N98" s="164"/>
      <c r="O98" s="164"/>
      <c r="P98" s="164"/>
      <c r="Q98" s="164"/>
      <c r="R98" s="164"/>
      <c r="S98" s="164"/>
      <c r="T98" s="164"/>
      <c r="U98" s="164"/>
      <c r="V98" s="164"/>
      <c r="W98" s="164"/>
      <c r="X98" s="164"/>
      <c r="Y98" s="164"/>
      <c r="Z98" s="164"/>
      <c r="AA98" s="164"/>
      <c r="AB98" s="164"/>
      <c r="AC98" s="164"/>
      <c r="AD98" s="164"/>
      <c r="AE98" s="164"/>
      <c r="AF98" s="164"/>
      <c r="AG98" s="164"/>
      <c r="AH98" s="164"/>
      <c r="AI98" s="164"/>
      <c r="AJ98" s="164"/>
      <c r="AK98" s="72" t="s">
        <v>525</v>
      </c>
      <c r="AL98" s="73">
        <v>207</v>
      </c>
      <c r="AM98" s="63">
        <f>'Import-T7.2019'!F93</f>
        <v>0</v>
      </c>
      <c r="AN98" s="182">
        <f t="shared" si="29"/>
        <v>1</v>
      </c>
      <c r="AO98" s="182">
        <f>'NG T7.2019'!F93</f>
        <v>0</v>
      </c>
      <c r="AP98" s="181">
        <f t="shared" si="30"/>
        <v>206</v>
      </c>
      <c r="AQ98" s="194" t="s">
        <v>552</v>
      </c>
    </row>
    <row r="99" spans="1:43" ht="15" customHeight="1" x14ac:dyDescent="0.25">
      <c r="A99" s="3">
        <v>5</v>
      </c>
      <c r="B99" s="188" t="s">
        <v>186</v>
      </c>
      <c r="C99" s="134" t="s">
        <v>187</v>
      </c>
      <c r="D99" s="133" t="s">
        <v>179</v>
      </c>
      <c r="E99" s="161"/>
      <c r="F99" s="161"/>
      <c r="G99" s="161"/>
      <c r="H99" s="161"/>
      <c r="I99" s="161"/>
      <c r="J99" s="161"/>
      <c r="K99" s="161"/>
      <c r="L99" s="161"/>
      <c r="M99" s="161"/>
      <c r="N99" s="161">
        <f>1*N9</f>
        <v>1</v>
      </c>
      <c r="O99" s="161"/>
      <c r="P99" s="161"/>
      <c r="Q99" s="161"/>
      <c r="R99" s="161"/>
      <c r="S99" s="161"/>
      <c r="T99" s="161"/>
      <c r="U99" s="161"/>
      <c r="V99" s="161"/>
      <c r="W99" s="161"/>
      <c r="X99" s="161"/>
      <c r="Y99" s="161"/>
      <c r="Z99" s="161"/>
      <c r="AA99" s="161"/>
      <c r="AB99" s="161"/>
      <c r="AC99" s="161"/>
      <c r="AD99" s="161"/>
      <c r="AE99" s="161"/>
      <c r="AF99" s="161"/>
      <c r="AG99" s="161"/>
      <c r="AH99" s="161"/>
      <c r="AI99" s="161"/>
      <c r="AJ99" s="161"/>
      <c r="AK99" s="72" t="s">
        <v>525</v>
      </c>
      <c r="AL99" s="73">
        <v>14900</v>
      </c>
      <c r="AM99" s="63">
        <f>'Import-T7.2019'!F94</f>
        <v>9000</v>
      </c>
      <c r="AN99" s="182">
        <f t="shared" si="29"/>
        <v>1</v>
      </c>
      <c r="AO99" s="182">
        <f>'NG T7.2019'!F94</f>
        <v>0</v>
      </c>
      <c r="AP99" s="181">
        <f t="shared" si="30"/>
        <v>23899</v>
      </c>
      <c r="AQ99" s="194" t="s">
        <v>552</v>
      </c>
    </row>
    <row r="100" spans="1:43" ht="15" customHeight="1" x14ac:dyDescent="0.25">
      <c r="A100" s="3">
        <v>6</v>
      </c>
      <c r="B100" s="188" t="s">
        <v>186</v>
      </c>
      <c r="C100" s="134" t="s">
        <v>188</v>
      </c>
      <c r="D100" s="135" t="s">
        <v>181</v>
      </c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>
        <f>1*O9</f>
        <v>1</v>
      </c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72" t="s">
        <v>525</v>
      </c>
      <c r="AL100" s="73">
        <v>100</v>
      </c>
      <c r="AM100" s="63">
        <f>'Import-T7.2019'!F95</f>
        <v>0</v>
      </c>
      <c r="AN100" s="182">
        <f t="shared" si="29"/>
        <v>1</v>
      </c>
      <c r="AO100" s="182">
        <f>'NG T7.2019'!F95</f>
        <v>0</v>
      </c>
      <c r="AP100" s="181">
        <f t="shared" si="30"/>
        <v>99</v>
      </c>
      <c r="AQ100" s="194" t="s">
        <v>552</v>
      </c>
    </row>
    <row r="101" spans="1:43" ht="15" customHeight="1" x14ac:dyDescent="0.25">
      <c r="A101" s="3">
        <v>7</v>
      </c>
      <c r="B101" s="188" t="s">
        <v>186</v>
      </c>
      <c r="C101" s="134" t="s">
        <v>189</v>
      </c>
      <c r="D101" s="136" t="s">
        <v>190</v>
      </c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>
        <f>1*P9</f>
        <v>1</v>
      </c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72" t="s">
        <v>525</v>
      </c>
      <c r="AL101" s="73">
        <v>100</v>
      </c>
      <c r="AM101" s="63">
        <f>'Import-T7.2019'!F96</f>
        <v>0</v>
      </c>
      <c r="AN101" s="182">
        <f t="shared" si="29"/>
        <v>1</v>
      </c>
      <c r="AO101" s="182">
        <f>'NG T7.2019'!F96</f>
        <v>0</v>
      </c>
      <c r="AP101" s="181">
        <f t="shared" si="30"/>
        <v>99</v>
      </c>
      <c r="AQ101" s="194" t="s">
        <v>552</v>
      </c>
    </row>
    <row r="102" spans="1:43" ht="15" customHeight="1" x14ac:dyDescent="0.25">
      <c r="A102" s="3">
        <v>8</v>
      </c>
      <c r="B102" s="188" t="s">
        <v>186</v>
      </c>
      <c r="C102" s="134" t="s">
        <v>191</v>
      </c>
      <c r="D102" s="136" t="s">
        <v>183</v>
      </c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>
        <f>1*Q9</f>
        <v>1</v>
      </c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72" t="s">
        <v>525</v>
      </c>
      <c r="AL102" s="73">
        <v>171</v>
      </c>
      <c r="AM102" s="63">
        <f>'Import-T7.2019'!F97</f>
        <v>0</v>
      </c>
      <c r="AN102" s="182">
        <f t="shared" si="29"/>
        <v>1</v>
      </c>
      <c r="AO102" s="182">
        <f>'NG T7.2019'!F97</f>
        <v>0</v>
      </c>
      <c r="AP102" s="181">
        <f t="shared" si="30"/>
        <v>170</v>
      </c>
      <c r="AQ102" s="194" t="s">
        <v>552</v>
      </c>
    </row>
    <row r="103" spans="1:43" ht="15" customHeight="1" x14ac:dyDescent="0.25">
      <c r="A103" s="3">
        <v>9</v>
      </c>
      <c r="B103" s="188" t="s">
        <v>186</v>
      </c>
      <c r="C103" s="134" t="s">
        <v>192</v>
      </c>
      <c r="D103" s="137" t="s">
        <v>185</v>
      </c>
      <c r="E103" s="164"/>
      <c r="F103" s="164"/>
      <c r="G103" s="164"/>
      <c r="H103" s="164"/>
      <c r="I103" s="164"/>
      <c r="J103" s="164"/>
      <c r="K103" s="164"/>
      <c r="L103" s="164"/>
      <c r="M103" s="164"/>
      <c r="N103" s="164"/>
      <c r="O103" s="164"/>
      <c r="P103" s="164"/>
      <c r="Q103" s="164"/>
      <c r="R103" s="164">
        <f>1*R9</f>
        <v>1</v>
      </c>
      <c r="S103" s="164"/>
      <c r="T103" s="164"/>
      <c r="U103" s="164"/>
      <c r="V103" s="164"/>
      <c r="W103" s="164"/>
      <c r="X103" s="164"/>
      <c r="Y103" s="164"/>
      <c r="Z103" s="164"/>
      <c r="AA103" s="164"/>
      <c r="AB103" s="164"/>
      <c r="AC103" s="164"/>
      <c r="AD103" s="164"/>
      <c r="AE103" s="164"/>
      <c r="AF103" s="164"/>
      <c r="AG103" s="164"/>
      <c r="AH103" s="164"/>
      <c r="AI103" s="164"/>
      <c r="AJ103" s="164"/>
      <c r="AK103" s="72" t="s">
        <v>525</v>
      </c>
      <c r="AL103" s="73">
        <v>200</v>
      </c>
      <c r="AM103" s="63">
        <f>'Import-T7.2019'!F98</f>
        <v>0</v>
      </c>
      <c r="AN103" s="182">
        <f t="shared" si="29"/>
        <v>1</v>
      </c>
      <c r="AO103" s="182">
        <f>'NG T7.2019'!F98</f>
        <v>0</v>
      </c>
      <c r="AP103" s="181">
        <f t="shared" si="30"/>
        <v>199</v>
      </c>
      <c r="AQ103" s="194" t="s">
        <v>552</v>
      </c>
    </row>
    <row r="104" spans="1:43" ht="15" customHeight="1" x14ac:dyDescent="0.25">
      <c r="A104" s="3">
        <v>10</v>
      </c>
      <c r="B104" s="188" t="s">
        <v>193</v>
      </c>
      <c r="C104" s="134" t="s">
        <v>194</v>
      </c>
      <c r="D104" s="133" t="s">
        <v>179</v>
      </c>
      <c r="E104" s="161"/>
      <c r="F104" s="161"/>
      <c r="G104" s="161"/>
      <c r="H104" s="161"/>
      <c r="I104" s="161"/>
      <c r="J104" s="161"/>
      <c r="K104" s="161"/>
      <c r="L104" s="161"/>
      <c r="M104" s="161"/>
      <c r="N104" s="161"/>
      <c r="O104" s="161"/>
      <c r="P104" s="161"/>
      <c r="Q104" s="161"/>
      <c r="R104" s="161"/>
      <c r="S104" s="161">
        <f>1*S9</f>
        <v>1</v>
      </c>
      <c r="T104" s="161"/>
      <c r="U104" s="161"/>
      <c r="V104" s="161"/>
      <c r="W104" s="161"/>
      <c r="X104" s="161">
        <f>1*X9</f>
        <v>1</v>
      </c>
      <c r="Y104" s="161"/>
      <c r="Z104" s="161"/>
      <c r="AA104" s="161"/>
      <c r="AB104" s="161"/>
      <c r="AC104" s="161">
        <f>1*AC9</f>
        <v>1</v>
      </c>
      <c r="AD104" s="161"/>
      <c r="AE104" s="161"/>
      <c r="AF104" s="161"/>
      <c r="AG104" s="161">
        <f>1*AG9</f>
        <v>1</v>
      </c>
      <c r="AH104" s="161"/>
      <c r="AI104" s="161"/>
      <c r="AJ104" s="161"/>
      <c r="AK104" s="72" t="s">
        <v>525</v>
      </c>
      <c r="AL104" s="73">
        <v>1394</v>
      </c>
      <c r="AM104" s="63">
        <f>'Import-T7.2019'!F99</f>
        <v>0</v>
      </c>
      <c r="AN104" s="182">
        <f t="shared" si="29"/>
        <v>4</v>
      </c>
      <c r="AO104" s="182">
        <f>'NG T7.2019'!F99</f>
        <v>0</v>
      </c>
      <c r="AP104" s="181">
        <f t="shared" si="30"/>
        <v>1390</v>
      </c>
      <c r="AQ104" s="194" t="s">
        <v>552</v>
      </c>
    </row>
    <row r="105" spans="1:43" ht="15" customHeight="1" x14ac:dyDescent="0.25">
      <c r="A105" s="3">
        <v>11</v>
      </c>
      <c r="B105" s="188" t="s">
        <v>193</v>
      </c>
      <c r="C105" s="134" t="s">
        <v>195</v>
      </c>
      <c r="D105" s="135" t="s">
        <v>181</v>
      </c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>
        <f>1*T9</f>
        <v>1</v>
      </c>
      <c r="U105" s="162">
        <f>1*U9</f>
        <v>1</v>
      </c>
      <c r="V105" s="162">
        <f>1*V9</f>
        <v>1</v>
      </c>
      <c r="W105" s="162">
        <f t="shared" ref="W105:AJ105" si="31">1*W9</f>
        <v>1</v>
      </c>
      <c r="X105" s="162"/>
      <c r="Y105" s="162">
        <f t="shared" si="31"/>
        <v>1</v>
      </c>
      <c r="Z105" s="162">
        <f t="shared" si="31"/>
        <v>1</v>
      </c>
      <c r="AA105" s="162">
        <f t="shared" si="31"/>
        <v>1</v>
      </c>
      <c r="AB105" s="162">
        <f t="shared" si="31"/>
        <v>1</v>
      </c>
      <c r="AC105" s="162"/>
      <c r="AD105" s="162">
        <f t="shared" si="31"/>
        <v>1</v>
      </c>
      <c r="AE105" s="162">
        <f t="shared" si="31"/>
        <v>1</v>
      </c>
      <c r="AF105" s="162">
        <f t="shared" si="31"/>
        <v>1</v>
      </c>
      <c r="AG105" s="162"/>
      <c r="AH105" s="162">
        <f t="shared" si="31"/>
        <v>1</v>
      </c>
      <c r="AI105" s="162">
        <f t="shared" si="31"/>
        <v>1</v>
      </c>
      <c r="AJ105" s="162">
        <f t="shared" si="31"/>
        <v>1</v>
      </c>
      <c r="AK105" s="72" t="s">
        <v>525</v>
      </c>
      <c r="AL105" s="73">
        <v>2869</v>
      </c>
      <c r="AM105" s="63">
        <f>'Import-T7.2019'!F100</f>
        <v>0</v>
      </c>
      <c r="AN105" s="182">
        <f t="shared" si="29"/>
        <v>14</v>
      </c>
      <c r="AO105" s="182">
        <f>'NG T7.2019'!F100</f>
        <v>0</v>
      </c>
      <c r="AP105" s="181">
        <f t="shared" si="30"/>
        <v>2855</v>
      </c>
      <c r="AQ105" s="194" t="s">
        <v>552</v>
      </c>
    </row>
    <row r="106" spans="1:43" ht="15" customHeight="1" x14ac:dyDescent="0.25">
      <c r="A106" s="3">
        <v>12</v>
      </c>
      <c r="B106" s="187" t="s">
        <v>196</v>
      </c>
      <c r="C106" s="104" t="s">
        <v>197</v>
      </c>
      <c r="D106" s="105" t="s">
        <v>198</v>
      </c>
      <c r="E106" s="165">
        <f>1*E9</f>
        <v>1</v>
      </c>
      <c r="F106" s="165"/>
      <c r="G106" s="165"/>
      <c r="H106" s="165"/>
      <c r="I106" s="165">
        <f>1*I9</f>
        <v>1</v>
      </c>
      <c r="J106" s="165"/>
      <c r="K106" s="165"/>
      <c r="L106" s="165">
        <f>1*L9</f>
        <v>1</v>
      </c>
      <c r="M106" s="165"/>
      <c r="N106" s="165">
        <f>1*N9</f>
        <v>1</v>
      </c>
      <c r="O106" s="165"/>
      <c r="P106" s="165"/>
      <c r="Q106" s="165"/>
      <c r="R106" s="165"/>
      <c r="S106" s="165"/>
      <c r="T106" s="165"/>
      <c r="U106" s="165"/>
      <c r="V106" s="165"/>
      <c r="W106" s="165"/>
      <c r="X106" s="165"/>
      <c r="Y106" s="165"/>
      <c r="Z106" s="165"/>
      <c r="AA106" s="165"/>
      <c r="AB106" s="165"/>
      <c r="AC106" s="165"/>
      <c r="AD106" s="165"/>
      <c r="AE106" s="165"/>
      <c r="AF106" s="165"/>
      <c r="AG106" s="165"/>
      <c r="AH106" s="165"/>
      <c r="AI106" s="165"/>
      <c r="AJ106" s="165"/>
      <c r="AK106" s="72" t="s">
        <v>525</v>
      </c>
      <c r="AL106" s="73">
        <v>48000</v>
      </c>
      <c r="AM106" s="63">
        <f>'Import-T7.2019'!F101</f>
        <v>0</v>
      </c>
      <c r="AN106" s="182">
        <f t="shared" si="29"/>
        <v>4</v>
      </c>
      <c r="AO106" s="182">
        <f>'NG T7.2019'!F101</f>
        <v>0</v>
      </c>
      <c r="AP106" s="181">
        <f t="shared" si="30"/>
        <v>47996</v>
      </c>
      <c r="AQ106" s="194" t="s">
        <v>561</v>
      </c>
    </row>
    <row r="107" spans="1:43" ht="15" customHeight="1" x14ac:dyDescent="0.25">
      <c r="A107" s="3">
        <v>13</v>
      </c>
      <c r="B107" s="187" t="s">
        <v>196</v>
      </c>
      <c r="C107" s="104" t="s">
        <v>199</v>
      </c>
      <c r="D107" s="105" t="s">
        <v>200</v>
      </c>
      <c r="E107" s="165">
        <f>1*E9</f>
        <v>1</v>
      </c>
      <c r="F107" s="165"/>
      <c r="G107" s="165"/>
      <c r="H107" s="165"/>
      <c r="I107" s="165">
        <f>1*I9</f>
        <v>1</v>
      </c>
      <c r="J107" s="165"/>
      <c r="K107" s="165"/>
      <c r="L107" s="165">
        <f>1*L9</f>
        <v>1</v>
      </c>
      <c r="M107" s="165"/>
      <c r="N107" s="165">
        <f>1*N9</f>
        <v>1</v>
      </c>
      <c r="O107" s="165"/>
      <c r="P107" s="165"/>
      <c r="Q107" s="165"/>
      <c r="R107" s="165"/>
      <c r="S107" s="165"/>
      <c r="T107" s="165"/>
      <c r="U107" s="165"/>
      <c r="V107" s="165"/>
      <c r="W107" s="165"/>
      <c r="X107" s="165"/>
      <c r="Y107" s="165"/>
      <c r="Z107" s="165"/>
      <c r="AA107" s="165"/>
      <c r="AB107" s="165"/>
      <c r="AC107" s="165"/>
      <c r="AD107" s="165"/>
      <c r="AE107" s="165"/>
      <c r="AF107" s="165"/>
      <c r="AG107" s="165"/>
      <c r="AH107" s="165"/>
      <c r="AI107" s="165"/>
      <c r="AJ107" s="165"/>
      <c r="AK107" s="72" t="s">
        <v>525</v>
      </c>
      <c r="AL107" s="73">
        <v>49314</v>
      </c>
      <c r="AM107" s="63">
        <f>'Import-T7.2019'!F102</f>
        <v>0</v>
      </c>
      <c r="AN107" s="182">
        <f t="shared" si="29"/>
        <v>4</v>
      </c>
      <c r="AO107" s="182">
        <f>'NG T7.2019'!F102</f>
        <v>0</v>
      </c>
      <c r="AP107" s="181">
        <f t="shared" si="30"/>
        <v>49310</v>
      </c>
      <c r="AQ107" s="194" t="s">
        <v>561</v>
      </c>
    </row>
    <row r="108" spans="1:43" ht="15" customHeight="1" x14ac:dyDescent="0.25">
      <c r="A108" s="3">
        <v>14</v>
      </c>
      <c r="B108" s="187" t="s">
        <v>196</v>
      </c>
      <c r="C108" s="106" t="s">
        <v>201</v>
      </c>
      <c r="D108" s="107" t="s">
        <v>202</v>
      </c>
      <c r="E108" s="166"/>
      <c r="F108" s="166">
        <f>1*F9</f>
        <v>1</v>
      </c>
      <c r="G108" s="166"/>
      <c r="H108" s="166"/>
      <c r="I108" s="166"/>
      <c r="J108" s="166">
        <f>1*J9</f>
        <v>1</v>
      </c>
      <c r="K108" s="166"/>
      <c r="L108" s="166"/>
      <c r="M108" s="166"/>
      <c r="N108" s="166"/>
      <c r="O108" s="166">
        <f>1*O9</f>
        <v>1</v>
      </c>
      <c r="P108" s="166"/>
      <c r="Q108" s="166"/>
      <c r="R108" s="166"/>
      <c r="S108" s="166"/>
      <c r="T108" s="166"/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  <c r="AI108" s="167"/>
      <c r="AJ108" s="167"/>
      <c r="AK108" s="69" t="s">
        <v>525</v>
      </c>
      <c r="AL108" s="73">
        <v>34500</v>
      </c>
      <c r="AM108" s="63">
        <f>'Import-T7.2019'!F103</f>
        <v>0</v>
      </c>
      <c r="AN108" s="182">
        <f t="shared" si="29"/>
        <v>3</v>
      </c>
      <c r="AO108" s="182">
        <f>'NG T7.2019'!F103</f>
        <v>0</v>
      </c>
      <c r="AP108" s="181">
        <f t="shared" si="30"/>
        <v>34497</v>
      </c>
      <c r="AQ108" s="194" t="s">
        <v>561</v>
      </c>
    </row>
    <row r="109" spans="1:43" ht="15" customHeight="1" x14ac:dyDescent="0.25">
      <c r="A109" s="3">
        <v>15</v>
      </c>
      <c r="B109" s="187" t="s">
        <v>196</v>
      </c>
      <c r="C109" s="108" t="s">
        <v>203</v>
      </c>
      <c r="D109" s="109" t="s">
        <v>204</v>
      </c>
      <c r="E109" s="167"/>
      <c r="F109" s="167">
        <f>1*F9</f>
        <v>1</v>
      </c>
      <c r="G109" s="167"/>
      <c r="H109" s="167"/>
      <c r="I109" s="167"/>
      <c r="J109" s="167">
        <f>1*J9</f>
        <v>1</v>
      </c>
      <c r="K109" s="167"/>
      <c r="L109" s="167"/>
      <c r="M109" s="167"/>
      <c r="N109" s="167"/>
      <c r="O109" s="167">
        <f>1*O9</f>
        <v>1</v>
      </c>
      <c r="P109" s="167"/>
      <c r="Q109" s="167"/>
      <c r="R109" s="167"/>
      <c r="S109" s="167"/>
      <c r="T109" s="167"/>
      <c r="U109" s="167"/>
      <c r="V109" s="167"/>
      <c r="W109" s="167"/>
      <c r="X109" s="167"/>
      <c r="Y109" s="167"/>
      <c r="Z109" s="167"/>
      <c r="AA109" s="167"/>
      <c r="AB109" s="167"/>
      <c r="AC109" s="167"/>
      <c r="AD109" s="167"/>
      <c r="AE109" s="167"/>
      <c r="AF109" s="167"/>
      <c r="AG109" s="167"/>
      <c r="AH109" s="167"/>
      <c r="AI109" s="167"/>
      <c r="AJ109" s="167"/>
      <c r="AK109" s="72" t="s">
        <v>525</v>
      </c>
      <c r="AL109" s="73">
        <v>34500</v>
      </c>
      <c r="AM109" s="63">
        <f>'Import-T7.2019'!F104</f>
        <v>0</v>
      </c>
      <c r="AN109" s="182">
        <f t="shared" si="29"/>
        <v>3</v>
      </c>
      <c r="AO109" s="182">
        <f>'NG T7.2019'!F104</f>
        <v>0</v>
      </c>
      <c r="AP109" s="181">
        <f t="shared" si="30"/>
        <v>34497</v>
      </c>
      <c r="AQ109" s="194" t="s">
        <v>561</v>
      </c>
    </row>
    <row r="110" spans="1:43" ht="15" customHeight="1" x14ac:dyDescent="0.25">
      <c r="A110" s="3">
        <v>16</v>
      </c>
      <c r="B110" s="187" t="s">
        <v>196</v>
      </c>
      <c r="C110" s="108" t="s">
        <v>205</v>
      </c>
      <c r="D110" s="107" t="s">
        <v>206</v>
      </c>
      <c r="E110" s="166"/>
      <c r="F110" s="166"/>
      <c r="G110" s="166"/>
      <c r="H110" s="166"/>
      <c r="I110" s="166"/>
      <c r="J110" s="166"/>
      <c r="K110" s="166"/>
      <c r="L110" s="166"/>
      <c r="M110" s="166"/>
      <c r="N110" s="166"/>
      <c r="O110" s="166"/>
      <c r="P110" s="166">
        <f>1*P9</f>
        <v>1</v>
      </c>
      <c r="Q110" s="166"/>
      <c r="R110" s="166"/>
      <c r="S110" s="166"/>
      <c r="T110" s="166"/>
      <c r="U110" s="167"/>
      <c r="V110" s="167"/>
      <c r="W110" s="167"/>
      <c r="X110" s="167"/>
      <c r="Y110" s="167"/>
      <c r="Z110" s="167"/>
      <c r="AA110" s="167"/>
      <c r="AB110" s="167"/>
      <c r="AC110" s="167"/>
      <c r="AD110" s="167"/>
      <c r="AE110" s="167"/>
      <c r="AF110" s="167"/>
      <c r="AG110" s="167"/>
      <c r="AH110" s="167"/>
      <c r="AI110" s="167"/>
      <c r="AJ110" s="167"/>
      <c r="AK110" s="72" t="s">
        <v>525</v>
      </c>
      <c r="AL110" s="73">
        <v>11700</v>
      </c>
      <c r="AM110" s="63">
        <f>'Import-T7.2019'!F105</f>
        <v>0</v>
      </c>
      <c r="AN110" s="182">
        <f t="shared" si="29"/>
        <v>1</v>
      </c>
      <c r="AO110" s="182">
        <f>'NG T7.2019'!F105</f>
        <v>0</v>
      </c>
      <c r="AP110" s="181">
        <f t="shared" si="30"/>
        <v>11699</v>
      </c>
      <c r="AQ110" s="194" t="s">
        <v>561</v>
      </c>
    </row>
    <row r="111" spans="1:43" ht="15" customHeight="1" x14ac:dyDescent="0.25">
      <c r="A111" s="3">
        <v>17</v>
      </c>
      <c r="B111" s="187" t="s">
        <v>196</v>
      </c>
      <c r="C111" s="108" t="s">
        <v>207</v>
      </c>
      <c r="D111" s="109" t="s">
        <v>208</v>
      </c>
      <c r="E111" s="167"/>
      <c r="F111" s="167"/>
      <c r="G111" s="167"/>
      <c r="H111" s="167"/>
      <c r="I111" s="167"/>
      <c r="J111" s="167"/>
      <c r="K111" s="167"/>
      <c r="L111" s="167"/>
      <c r="M111" s="167"/>
      <c r="N111" s="167"/>
      <c r="O111" s="167"/>
      <c r="P111" s="167">
        <f>1*P9</f>
        <v>1</v>
      </c>
      <c r="Q111" s="167"/>
      <c r="R111" s="167"/>
      <c r="S111" s="167"/>
      <c r="T111" s="167"/>
      <c r="U111" s="167"/>
      <c r="V111" s="167"/>
      <c r="W111" s="167"/>
      <c r="X111" s="167"/>
      <c r="Y111" s="167"/>
      <c r="Z111" s="167"/>
      <c r="AA111" s="167"/>
      <c r="AB111" s="167"/>
      <c r="AC111" s="167"/>
      <c r="AD111" s="167"/>
      <c r="AE111" s="167"/>
      <c r="AF111" s="167"/>
      <c r="AG111" s="167"/>
      <c r="AH111" s="167"/>
      <c r="AI111" s="167"/>
      <c r="AJ111" s="167"/>
      <c r="AK111" s="72" t="s">
        <v>525</v>
      </c>
      <c r="AL111" s="73">
        <v>11700</v>
      </c>
      <c r="AM111" s="63">
        <f>'Import-T7.2019'!F106</f>
        <v>0</v>
      </c>
      <c r="AN111" s="182">
        <f t="shared" si="29"/>
        <v>1</v>
      </c>
      <c r="AO111" s="182">
        <f>'NG T7.2019'!F106</f>
        <v>0</v>
      </c>
      <c r="AP111" s="181">
        <f t="shared" si="30"/>
        <v>11699</v>
      </c>
      <c r="AQ111" s="194" t="s">
        <v>561</v>
      </c>
    </row>
    <row r="112" spans="1:43" ht="15" customHeight="1" x14ac:dyDescent="0.25">
      <c r="A112" s="3">
        <v>18</v>
      </c>
      <c r="B112" s="187" t="s">
        <v>196</v>
      </c>
      <c r="C112" s="110" t="s">
        <v>209</v>
      </c>
      <c r="D112" s="111" t="s">
        <v>210</v>
      </c>
      <c r="E112" s="168"/>
      <c r="F112" s="168"/>
      <c r="G112" s="168">
        <f>1*G9</f>
        <v>1</v>
      </c>
      <c r="H112" s="168"/>
      <c r="I112" s="168"/>
      <c r="J112" s="168"/>
      <c r="K112" s="168">
        <f>1*K9</f>
        <v>1</v>
      </c>
      <c r="L112" s="168"/>
      <c r="M112" s="168">
        <f>1*M9</f>
        <v>1</v>
      </c>
      <c r="N112" s="168"/>
      <c r="O112" s="168"/>
      <c r="P112" s="168"/>
      <c r="Q112" s="168">
        <f>1*Q9</f>
        <v>1</v>
      </c>
      <c r="R112" s="168"/>
      <c r="S112" s="168"/>
      <c r="T112" s="168"/>
      <c r="U112" s="168"/>
      <c r="V112" s="168"/>
      <c r="W112" s="168"/>
      <c r="X112" s="168"/>
      <c r="Y112" s="168"/>
      <c r="Z112" s="168"/>
      <c r="AA112" s="168"/>
      <c r="AB112" s="168"/>
      <c r="AC112" s="168"/>
      <c r="AD112" s="168"/>
      <c r="AE112" s="168"/>
      <c r="AF112" s="168"/>
      <c r="AG112" s="168"/>
      <c r="AH112" s="168"/>
      <c r="AI112" s="168"/>
      <c r="AJ112" s="168"/>
      <c r="AK112" s="72" t="s">
        <v>525</v>
      </c>
      <c r="AL112" s="73">
        <v>12002</v>
      </c>
      <c r="AM112" s="63">
        <f>'Import-T7.2019'!F107</f>
        <v>0</v>
      </c>
      <c r="AN112" s="182">
        <f t="shared" si="29"/>
        <v>4</v>
      </c>
      <c r="AO112" s="182">
        <f>'NG T7.2019'!F107</f>
        <v>0</v>
      </c>
      <c r="AP112" s="181">
        <f t="shared" si="30"/>
        <v>11998</v>
      </c>
      <c r="AQ112" s="194" t="s">
        <v>561</v>
      </c>
    </row>
    <row r="113" spans="1:43" ht="15" customHeight="1" x14ac:dyDescent="0.25">
      <c r="A113" s="3">
        <v>19</v>
      </c>
      <c r="B113" s="187" t="s">
        <v>196</v>
      </c>
      <c r="C113" s="110" t="s">
        <v>211</v>
      </c>
      <c r="D113" s="111" t="s">
        <v>212</v>
      </c>
      <c r="E113" s="168"/>
      <c r="F113" s="168"/>
      <c r="G113" s="168">
        <f>1*G9</f>
        <v>1</v>
      </c>
      <c r="H113" s="168"/>
      <c r="I113" s="168"/>
      <c r="J113" s="168"/>
      <c r="K113" s="168">
        <f>1*K9</f>
        <v>1</v>
      </c>
      <c r="L113" s="168"/>
      <c r="M113" s="168">
        <f>1*M9</f>
        <v>1</v>
      </c>
      <c r="N113" s="168"/>
      <c r="O113" s="168"/>
      <c r="P113" s="168"/>
      <c r="Q113" s="168">
        <f>1*Q9</f>
        <v>1</v>
      </c>
      <c r="R113" s="168"/>
      <c r="S113" s="168"/>
      <c r="T113" s="168"/>
      <c r="U113" s="168"/>
      <c r="V113" s="168"/>
      <c r="W113" s="168"/>
      <c r="X113" s="168"/>
      <c r="Y113" s="168"/>
      <c r="Z113" s="168"/>
      <c r="AA113" s="168"/>
      <c r="AB113" s="168"/>
      <c r="AC113" s="168"/>
      <c r="AD113" s="168"/>
      <c r="AE113" s="168"/>
      <c r="AF113" s="168"/>
      <c r="AG113" s="168"/>
      <c r="AH113" s="168"/>
      <c r="AI113" s="168"/>
      <c r="AJ113" s="168"/>
      <c r="AK113" s="72" t="s">
        <v>525</v>
      </c>
      <c r="AL113" s="73">
        <v>12034</v>
      </c>
      <c r="AM113" s="63">
        <f>'Import-T7.2019'!F108</f>
        <v>0</v>
      </c>
      <c r="AN113" s="182">
        <f t="shared" si="29"/>
        <v>4</v>
      </c>
      <c r="AO113" s="182">
        <f>'NG T7.2019'!F108</f>
        <v>0</v>
      </c>
      <c r="AP113" s="181">
        <f t="shared" si="30"/>
        <v>12030</v>
      </c>
      <c r="AQ113" s="194" t="s">
        <v>561</v>
      </c>
    </row>
    <row r="114" spans="1:43" ht="15" customHeight="1" x14ac:dyDescent="0.25">
      <c r="A114" s="3">
        <v>20</v>
      </c>
      <c r="B114" s="187" t="s">
        <v>196</v>
      </c>
      <c r="C114" s="112" t="s">
        <v>213</v>
      </c>
      <c r="D114" s="113" t="s">
        <v>214</v>
      </c>
      <c r="E114" s="169"/>
      <c r="F114" s="169"/>
      <c r="G114" s="169"/>
      <c r="H114" s="169">
        <f>1*H9</f>
        <v>1</v>
      </c>
      <c r="I114" s="169"/>
      <c r="J114" s="169"/>
      <c r="K114" s="169"/>
      <c r="L114" s="169"/>
      <c r="M114" s="169"/>
      <c r="N114" s="169"/>
      <c r="O114" s="169"/>
      <c r="P114" s="169"/>
      <c r="Q114" s="169"/>
      <c r="R114" s="169">
        <f>1*R9</f>
        <v>1</v>
      </c>
      <c r="S114" s="169"/>
      <c r="T114" s="169"/>
      <c r="U114" s="169"/>
      <c r="V114" s="169"/>
      <c r="W114" s="169"/>
      <c r="X114" s="169"/>
      <c r="Y114" s="169"/>
      <c r="Z114" s="169"/>
      <c r="AA114" s="169"/>
      <c r="AB114" s="169"/>
      <c r="AC114" s="169"/>
      <c r="AD114" s="169"/>
      <c r="AE114" s="169"/>
      <c r="AF114" s="169"/>
      <c r="AG114" s="169"/>
      <c r="AH114" s="169"/>
      <c r="AI114" s="169"/>
      <c r="AJ114" s="169"/>
      <c r="AK114" s="72" t="s">
        <v>525</v>
      </c>
      <c r="AL114" s="73">
        <v>11700</v>
      </c>
      <c r="AM114" s="63">
        <f>'Import-T7.2019'!F109</f>
        <v>0</v>
      </c>
      <c r="AN114" s="182">
        <f t="shared" si="29"/>
        <v>2</v>
      </c>
      <c r="AO114" s="182">
        <f>'NG T7.2019'!F109</f>
        <v>0</v>
      </c>
      <c r="AP114" s="181">
        <f t="shared" si="30"/>
        <v>11698</v>
      </c>
      <c r="AQ114" s="194" t="s">
        <v>561</v>
      </c>
    </row>
    <row r="115" spans="1:43" ht="15" customHeight="1" x14ac:dyDescent="0.25">
      <c r="A115" s="3">
        <v>21</v>
      </c>
      <c r="B115" s="187" t="s">
        <v>196</v>
      </c>
      <c r="C115" s="112" t="s">
        <v>215</v>
      </c>
      <c r="D115" s="113" t="s">
        <v>216</v>
      </c>
      <c r="E115" s="169"/>
      <c r="F115" s="169"/>
      <c r="G115" s="169"/>
      <c r="H115" s="169">
        <f>1*H9</f>
        <v>1</v>
      </c>
      <c r="I115" s="169"/>
      <c r="J115" s="169"/>
      <c r="K115" s="169"/>
      <c r="L115" s="169"/>
      <c r="M115" s="169"/>
      <c r="N115" s="169"/>
      <c r="O115" s="169"/>
      <c r="P115" s="169"/>
      <c r="Q115" s="169"/>
      <c r="R115" s="169">
        <f>1*R9</f>
        <v>1</v>
      </c>
      <c r="S115" s="169"/>
      <c r="T115" s="169"/>
      <c r="U115" s="169"/>
      <c r="V115" s="169"/>
      <c r="W115" s="169"/>
      <c r="X115" s="169"/>
      <c r="Y115" s="169"/>
      <c r="Z115" s="169"/>
      <c r="AA115" s="169"/>
      <c r="AB115" s="169"/>
      <c r="AC115" s="169"/>
      <c r="AD115" s="169"/>
      <c r="AE115" s="169"/>
      <c r="AF115" s="169"/>
      <c r="AG115" s="169"/>
      <c r="AH115" s="169"/>
      <c r="AI115" s="169"/>
      <c r="AJ115" s="169"/>
      <c r="AK115" s="72" t="s">
        <v>525</v>
      </c>
      <c r="AL115" s="73">
        <v>11700</v>
      </c>
      <c r="AM115" s="63">
        <f>'Import-T7.2019'!F110</f>
        <v>0</v>
      </c>
      <c r="AN115" s="182">
        <f t="shared" si="29"/>
        <v>2</v>
      </c>
      <c r="AO115" s="182">
        <f>'NG T7.2019'!F110</f>
        <v>0</v>
      </c>
      <c r="AP115" s="181">
        <f t="shared" si="30"/>
        <v>11698</v>
      </c>
      <c r="AQ115" s="194" t="s">
        <v>561</v>
      </c>
    </row>
    <row r="116" spans="1:43" ht="15" customHeight="1" x14ac:dyDescent="0.25">
      <c r="A116" s="3">
        <v>22</v>
      </c>
      <c r="B116" s="187" t="s">
        <v>217</v>
      </c>
      <c r="C116" s="112" t="s">
        <v>218</v>
      </c>
      <c r="D116" s="113" t="s">
        <v>537</v>
      </c>
      <c r="E116" s="169"/>
      <c r="F116" s="169"/>
      <c r="G116" s="169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>
        <f>2*S9</f>
        <v>2</v>
      </c>
      <c r="T116" s="169"/>
      <c r="U116" s="169"/>
      <c r="V116" s="169"/>
      <c r="W116" s="169"/>
      <c r="X116" s="169">
        <f>2*X9</f>
        <v>2</v>
      </c>
      <c r="Y116" s="169"/>
      <c r="Z116" s="169"/>
      <c r="AA116" s="169"/>
      <c r="AB116" s="169"/>
      <c r="AC116" s="169">
        <f>2*AC9</f>
        <v>2</v>
      </c>
      <c r="AD116" s="169"/>
      <c r="AE116" s="169"/>
      <c r="AF116" s="169"/>
      <c r="AG116" s="169"/>
      <c r="AH116" s="169"/>
      <c r="AI116" s="169"/>
      <c r="AJ116" s="169"/>
      <c r="AK116" s="72" t="s">
        <v>525</v>
      </c>
      <c r="AL116" s="73"/>
      <c r="AM116" s="63">
        <f>'Import-T7.2019'!F111</f>
        <v>0</v>
      </c>
      <c r="AN116" s="182">
        <f t="shared" si="29"/>
        <v>6</v>
      </c>
      <c r="AO116" s="182">
        <f>'NG T7.2019'!F111</f>
        <v>0</v>
      </c>
      <c r="AP116" s="181">
        <f t="shared" si="30"/>
        <v>-6</v>
      </c>
      <c r="AQ116" s="194" t="s">
        <v>561</v>
      </c>
    </row>
    <row r="117" spans="1:43" ht="15" customHeight="1" x14ac:dyDescent="0.25">
      <c r="A117" s="3">
        <v>23</v>
      </c>
      <c r="B117" s="187" t="s">
        <v>217</v>
      </c>
      <c r="C117" s="112" t="s">
        <v>220</v>
      </c>
      <c r="D117" s="113" t="s">
        <v>538</v>
      </c>
      <c r="E117" s="169"/>
      <c r="F117" s="169"/>
      <c r="G117" s="169"/>
      <c r="H117" s="169"/>
      <c r="I117" s="169"/>
      <c r="J117" s="169"/>
      <c r="K117" s="169"/>
      <c r="L117" s="169"/>
      <c r="M117" s="169"/>
      <c r="N117" s="169"/>
      <c r="O117" s="169"/>
      <c r="P117" s="169"/>
      <c r="Q117" s="169"/>
      <c r="R117" s="169"/>
      <c r="S117" s="169"/>
      <c r="T117" s="169">
        <f>2*T9</f>
        <v>2</v>
      </c>
      <c r="U117" s="169">
        <f>2*U9</f>
        <v>2</v>
      </c>
      <c r="V117" s="169">
        <f t="shared" ref="V117:AF117" si="32">2*V9</f>
        <v>2</v>
      </c>
      <c r="W117" s="169">
        <f t="shared" si="32"/>
        <v>2</v>
      </c>
      <c r="X117" s="169"/>
      <c r="Y117" s="169">
        <f t="shared" si="32"/>
        <v>2</v>
      </c>
      <c r="Z117" s="169">
        <f t="shared" si="32"/>
        <v>2</v>
      </c>
      <c r="AA117" s="169">
        <f t="shared" si="32"/>
        <v>2</v>
      </c>
      <c r="AB117" s="169">
        <f t="shared" si="32"/>
        <v>2</v>
      </c>
      <c r="AC117" s="169"/>
      <c r="AD117" s="169">
        <f t="shared" si="32"/>
        <v>2</v>
      </c>
      <c r="AE117" s="169">
        <f t="shared" si="32"/>
        <v>2</v>
      </c>
      <c r="AF117" s="169">
        <f t="shared" si="32"/>
        <v>2</v>
      </c>
      <c r="AG117" s="169"/>
      <c r="AH117" s="169"/>
      <c r="AI117" s="169"/>
      <c r="AJ117" s="169"/>
      <c r="AK117" s="72" t="s">
        <v>525</v>
      </c>
      <c r="AL117" s="73"/>
      <c r="AM117" s="63">
        <f>'Import-T7.2019'!F112</f>
        <v>0</v>
      </c>
      <c r="AN117" s="182">
        <f t="shared" si="29"/>
        <v>22</v>
      </c>
      <c r="AO117" s="182">
        <f>'NG T7.2019'!F112</f>
        <v>0</v>
      </c>
      <c r="AP117" s="181">
        <f t="shared" si="30"/>
        <v>-22</v>
      </c>
      <c r="AQ117" s="194" t="s">
        <v>561</v>
      </c>
    </row>
    <row r="118" spans="1:43" ht="15" customHeight="1" x14ac:dyDescent="0.25">
      <c r="A118" s="3">
        <v>24</v>
      </c>
      <c r="B118" s="187" t="s">
        <v>217</v>
      </c>
      <c r="C118" s="112" t="s">
        <v>222</v>
      </c>
      <c r="D118" s="113" t="s">
        <v>539</v>
      </c>
      <c r="E118" s="169"/>
      <c r="F118" s="169"/>
      <c r="G118" s="169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  <c r="X118" s="169"/>
      <c r="Y118" s="169"/>
      <c r="Z118" s="169"/>
      <c r="AA118" s="169"/>
      <c r="AB118" s="169"/>
      <c r="AC118" s="169"/>
      <c r="AD118" s="169"/>
      <c r="AE118" s="169"/>
      <c r="AF118" s="169"/>
      <c r="AG118" s="169">
        <f>2*AG9</f>
        <v>2</v>
      </c>
      <c r="AH118" s="169"/>
      <c r="AI118" s="169"/>
      <c r="AJ118" s="169"/>
      <c r="AK118" s="72" t="s">
        <v>525</v>
      </c>
      <c r="AL118" s="73"/>
      <c r="AM118" s="63">
        <f>'Import-T7.2019'!F113</f>
        <v>0</v>
      </c>
      <c r="AN118" s="182">
        <f t="shared" si="29"/>
        <v>2</v>
      </c>
      <c r="AO118" s="182">
        <f>'NG T7.2019'!F113</f>
        <v>0</v>
      </c>
      <c r="AP118" s="181">
        <f t="shared" si="30"/>
        <v>-2</v>
      </c>
      <c r="AQ118" s="194" t="s">
        <v>561</v>
      </c>
    </row>
    <row r="119" spans="1:43" ht="15" customHeight="1" x14ac:dyDescent="0.25">
      <c r="A119" s="3">
        <v>25</v>
      </c>
      <c r="B119" s="187" t="s">
        <v>217</v>
      </c>
      <c r="C119" s="112" t="s">
        <v>224</v>
      </c>
      <c r="D119" s="113" t="s">
        <v>540</v>
      </c>
      <c r="E119" s="169"/>
      <c r="F119" s="169"/>
      <c r="G119" s="169"/>
      <c r="H119" s="169"/>
      <c r="I119" s="169"/>
      <c r="J119" s="169"/>
      <c r="K119" s="169"/>
      <c r="L119" s="169"/>
      <c r="M119" s="169"/>
      <c r="N119" s="169"/>
      <c r="O119" s="169"/>
      <c r="P119" s="169"/>
      <c r="Q119" s="169"/>
      <c r="R119" s="169"/>
      <c r="S119" s="169"/>
      <c r="T119" s="169"/>
      <c r="U119" s="169"/>
      <c r="V119" s="169"/>
      <c r="W119" s="169"/>
      <c r="X119" s="169"/>
      <c r="Y119" s="169"/>
      <c r="Z119" s="169"/>
      <c r="AA119" s="169"/>
      <c r="AB119" s="169"/>
      <c r="AC119" s="169"/>
      <c r="AD119" s="169"/>
      <c r="AE119" s="169"/>
      <c r="AF119" s="169"/>
      <c r="AG119" s="169"/>
      <c r="AH119" s="169">
        <f>2*AH9</f>
        <v>2</v>
      </c>
      <c r="AI119" s="169">
        <f>2*AI9</f>
        <v>2</v>
      </c>
      <c r="AJ119" s="169">
        <f>2*AJ9</f>
        <v>2</v>
      </c>
      <c r="AK119" s="72" t="s">
        <v>525</v>
      </c>
      <c r="AL119" s="73"/>
      <c r="AM119" s="63">
        <f>'Import-T7.2019'!F114</f>
        <v>0</v>
      </c>
      <c r="AN119" s="182">
        <f t="shared" si="29"/>
        <v>6</v>
      </c>
      <c r="AO119" s="182">
        <f>'NG T7.2019'!F114</f>
        <v>0</v>
      </c>
      <c r="AP119" s="181">
        <f t="shared" si="30"/>
        <v>-6</v>
      </c>
      <c r="AQ119" s="194" t="s">
        <v>561</v>
      </c>
    </row>
    <row r="120" spans="1:43" ht="15" customHeight="1" x14ac:dyDescent="0.25">
      <c r="A120" s="3">
        <v>26</v>
      </c>
      <c r="B120" s="188" t="s">
        <v>587</v>
      </c>
      <c r="C120" s="115">
        <v>447926601</v>
      </c>
      <c r="D120" s="116" t="s">
        <v>227</v>
      </c>
      <c r="E120" s="170">
        <f>1*E9</f>
        <v>1</v>
      </c>
      <c r="F120" s="170"/>
      <c r="G120" s="170"/>
      <c r="H120" s="170"/>
      <c r="I120" s="170">
        <f>1*I9</f>
        <v>1</v>
      </c>
      <c r="J120" s="170"/>
      <c r="K120" s="170"/>
      <c r="L120" s="170">
        <f>1*L9</f>
        <v>1</v>
      </c>
      <c r="M120" s="170"/>
      <c r="N120" s="170">
        <f>1*N9</f>
        <v>1</v>
      </c>
      <c r="O120" s="170"/>
      <c r="P120" s="170"/>
      <c r="Q120" s="170"/>
      <c r="R120" s="170"/>
      <c r="S120" s="170"/>
      <c r="T120" s="170"/>
      <c r="U120" s="170"/>
      <c r="V120" s="170"/>
      <c r="W120" s="170"/>
      <c r="X120" s="170"/>
      <c r="Y120" s="170"/>
      <c r="Z120" s="170"/>
      <c r="AA120" s="170"/>
      <c r="AB120" s="170"/>
      <c r="AC120" s="170"/>
      <c r="AD120" s="170"/>
      <c r="AE120" s="170"/>
      <c r="AF120" s="170"/>
      <c r="AG120" s="170"/>
      <c r="AH120" s="170"/>
      <c r="AI120" s="170"/>
      <c r="AJ120" s="170"/>
      <c r="AK120" s="72" t="s">
        <v>525</v>
      </c>
      <c r="AL120" s="73">
        <v>5000</v>
      </c>
      <c r="AM120" s="63">
        <f>'Import-T7.2019'!F115</f>
        <v>15107</v>
      </c>
      <c r="AN120" s="182">
        <f t="shared" si="29"/>
        <v>4</v>
      </c>
      <c r="AO120" s="182">
        <f>'NG T7.2019'!F115</f>
        <v>0</v>
      </c>
      <c r="AP120" s="181">
        <f t="shared" si="30"/>
        <v>20103</v>
      </c>
      <c r="AQ120" s="194" t="s">
        <v>552</v>
      </c>
    </row>
    <row r="121" spans="1:43" ht="15" customHeight="1" x14ac:dyDescent="0.25">
      <c r="A121" s="3">
        <v>27</v>
      </c>
      <c r="B121" s="188" t="s">
        <v>587</v>
      </c>
      <c r="C121" s="117">
        <v>447926611</v>
      </c>
      <c r="D121" s="116" t="s">
        <v>228</v>
      </c>
      <c r="E121" s="170"/>
      <c r="F121" s="170">
        <f>1*F9</f>
        <v>1</v>
      </c>
      <c r="G121" s="170"/>
      <c r="H121" s="170"/>
      <c r="I121" s="170"/>
      <c r="J121" s="170">
        <f>1*J9</f>
        <v>1</v>
      </c>
      <c r="K121" s="170"/>
      <c r="L121" s="170"/>
      <c r="M121" s="170"/>
      <c r="N121" s="170"/>
      <c r="O121" s="170">
        <f>1*O9</f>
        <v>1</v>
      </c>
      <c r="P121" s="170"/>
      <c r="Q121" s="170"/>
      <c r="R121" s="170"/>
      <c r="S121" s="170"/>
      <c r="T121" s="170"/>
      <c r="U121" s="170"/>
      <c r="V121" s="170"/>
      <c r="W121" s="170"/>
      <c r="X121" s="170"/>
      <c r="Y121" s="170"/>
      <c r="Z121" s="170"/>
      <c r="AA121" s="170"/>
      <c r="AB121" s="170"/>
      <c r="AC121" s="170"/>
      <c r="AD121" s="170"/>
      <c r="AE121" s="170"/>
      <c r="AF121" s="170"/>
      <c r="AG121" s="170"/>
      <c r="AH121" s="170"/>
      <c r="AI121" s="170"/>
      <c r="AJ121" s="170"/>
      <c r="AK121" s="72" t="s">
        <v>525</v>
      </c>
      <c r="AL121" s="73">
        <v>17592</v>
      </c>
      <c r="AM121" s="63">
        <f>'Import-T7.2019'!F116</f>
        <v>0</v>
      </c>
      <c r="AN121" s="182">
        <f t="shared" si="29"/>
        <v>3</v>
      </c>
      <c r="AO121" s="182">
        <f>'NG T7.2019'!F116</f>
        <v>0</v>
      </c>
      <c r="AP121" s="181">
        <f t="shared" si="30"/>
        <v>17589</v>
      </c>
      <c r="AQ121" s="194" t="s">
        <v>552</v>
      </c>
    </row>
    <row r="122" spans="1:43" ht="15" customHeight="1" x14ac:dyDescent="0.25">
      <c r="A122" s="3">
        <v>28</v>
      </c>
      <c r="B122" s="188" t="s">
        <v>587</v>
      </c>
      <c r="C122" s="117">
        <v>447926621</v>
      </c>
      <c r="D122" s="116" t="s">
        <v>229</v>
      </c>
      <c r="E122" s="170"/>
      <c r="F122" s="170"/>
      <c r="G122" s="170"/>
      <c r="H122" s="170"/>
      <c r="I122" s="170"/>
      <c r="J122" s="170"/>
      <c r="K122" s="170"/>
      <c r="L122" s="170"/>
      <c r="M122" s="170"/>
      <c r="N122" s="170"/>
      <c r="O122" s="170"/>
      <c r="P122" s="170">
        <f>1*P9</f>
        <v>1</v>
      </c>
      <c r="Q122" s="170"/>
      <c r="R122" s="170"/>
      <c r="S122" s="170"/>
      <c r="T122" s="170"/>
      <c r="U122" s="170"/>
      <c r="V122" s="170"/>
      <c r="W122" s="170"/>
      <c r="X122" s="170"/>
      <c r="Y122" s="170"/>
      <c r="Z122" s="170"/>
      <c r="AA122" s="170"/>
      <c r="AB122" s="170"/>
      <c r="AC122" s="170"/>
      <c r="AD122" s="170"/>
      <c r="AE122" s="170"/>
      <c r="AF122" s="170"/>
      <c r="AG122" s="170"/>
      <c r="AH122" s="170"/>
      <c r="AI122" s="170"/>
      <c r="AJ122" s="170"/>
      <c r="AK122" s="72" t="s">
        <v>525</v>
      </c>
      <c r="AL122" s="73">
        <v>1276</v>
      </c>
      <c r="AM122" s="63">
        <f>'Import-T7.2019'!F117</f>
        <v>0</v>
      </c>
      <c r="AN122" s="182">
        <f t="shared" si="29"/>
        <v>1</v>
      </c>
      <c r="AO122" s="182">
        <f>'NG T7.2019'!F117</f>
        <v>0</v>
      </c>
      <c r="AP122" s="181">
        <f t="shared" si="30"/>
        <v>1275</v>
      </c>
      <c r="AQ122" s="194" t="s">
        <v>552</v>
      </c>
    </row>
    <row r="123" spans="1:43" ht="15" customHeight="1" x14ac:dyDescent="0.25">
      <c r="A123" s="3">
        <v>29</v>
      </c>
      <c r="B123" s="188" t="s">
        <v>587</v>
      </c>
      <c r="C123" s="118">
        <v>447926631</v>
      </c>
      <c r="D123" s="116" t="s">
        <v>230</v>
      </c>
      <c r="E123" s="170"/>
      <c r="F123" s="170"/>
      <c r="G123" s="170">
        <f>1*G9</f>
        <v>1</v>
      </c>
      <c r="H123" s="170"/>
      <c r="I123" s="170"/>
      <c r="J123" s="170"/>
      <c r="K123" s="170">
        <f>1*K9</f>
        <v>1</v>
      </c>
      <c r="L123" s="170"/>
      <c r="M123" s="170">
        <f>1*M9</f>
        <v>1</v>
      </c>
      <c r="N123" s="170"/>
      <c r="O123" s="170"/>
      <c r="P123" s="170"/>
      <c r="Q123" s="170">
        <f>1*Q9</f>
        <v>1</v>
      </c>
      <c r="R123" s="170"/>
      <c r="S123" s="170"/>
      <c r="T123" s="170"/>
      <c r="U123" s="170"/>
      <c r="V123" s="170"/>
      <c r="W123" s="170"/>
      <c r="X123" s="170"/>
      <c r="Y123" s="170"/>
      <c r="Z123" s="170"/>
      <c r="AA123" s="170"/>
      <c r="AB123" s="170"/>
      <c r="AC123" s="170"/>
      <c r="AD123" s="170"/>
      <c r="AE123" s="170"/>
      <c r="AF123" s="170"/>
      <c r="AG123" s="170"/>
      <c r="AH123" s="170"/>
      <c r="AI123" s="170"/>
      <c r="AJ123" s="170"/>
      <c r="AK123" s="72" t="s">
        <v>525</v>
      </c>
      <c r="AL123" s="73">
        <v>9340</v>
      </c>
      <c r="AM123" s="63">
        <f>'Import-T7.2019'!F118</f>
        <v>7000</v>
      </c>
      <c r="AN123" s="182">
        <f t="shared" si="29"/>
        <v>4</v>
      </c>
      <c r="AO123" s="182">
        <f>'NG T7.2019'!F118</f>
        <v>0</v>
      </c>
      <c r="AP123" s="181">
        <f t="shared" si="30"/>
        <v>16336</v>
      </c>
      <c r="AQ123" s="194" t="s">
        <v>552</v>
      </c>
    </row>
    <row r="124" spans="1:43" ht="15" customHeight="1" x14ac:dyDescent="0.25">
      <c r="A124" s="3">
        <v>30</v>
      </c>
      <c r="B124" s="188" t="s">
        <v>587</v>
      </c>
      <c r="C124" s="115">
        <v>447926641</v>
      </c>
      <c r="D124" s="116" t="s">
        <v>231</v>
      </c>
      <c r="E124" s="170"/>
      <c r="F124" s="170"/>
      <c r="G124" s="170"/>
      <c r="H124" s="170">
        <f>1*H9</f>
        <v>1</v>
      </c>
      <c r="I124" s="170"/>
      <c r="J124" s="170"/>
      <c r="K124" s="170"/>
      <c r="L124" s="170"/>
      <c r="M124" s="170"/>
      <c r="N124" s="170"/>
      <c r="O124" s="170"/>
      <c r="P124" s="170"/>
      <c r="Q124" s="170"/>
      <c r="R124" s="170">
        <f>1*R9</f>
        <v>1</v>
      </c>
      <c r="S124" s="170"/>
      <c r="T124" s="170"/>
      <c r="U124" s="170"/>
      <c r="V124" s="170"/>
      <c r="W124" s="170"/>
      <c r="X124" s="170"/>
      <c r="Y124" s="170"/>
      <c r="Z124" s="170"/>
      <c r="AA124" s="170"/>
      <c r="AB124" s="170"/>
      <c r="AC124" s="170"/>
      <c r="AD124" s="170"/>
      <c r="AE124" s="170"/>
      <c r="AF124" s="170"/>
      <c r="AG124" s="170"/>
      <c r="AH124" s="170"/>
      <c r="AI124" s="170"/>
      <c r="AJ124" s="170"/>
      <c r="AK124" s="72" t="s">
        <v>525</v>
      </c>
      <c r="AL124" s="73">
        <v>1374</v>
      </c>
      <c r="AM124" s="63">
        <f>'Import-T7.2019'!F119</f>
        <v>0</v>
      </c>
      <c r="AN124" s="182">
        <f t="shared" si="29"/>
        <v>2</v>
      </c>
      <c r="AO124" s="182">
        <f>'NG T7.2019'!F119</f>
        <v>0</v>
      </c>
      <c r="AP124" s="181">
        <f t="shared" si="30"/>
        <v>1372</v>
      </c>
      <c r="AQ124" s="194" t="s">
        <v>552</v>
      </c>
    </row>
    <row r="125" spans="1:43" ht="15" customHeight="1" x14ac:dyDescent="0.25">
      <c r="A125" s="3">
        <v>31</v>
      </c>
      <c r="B125" s="188" t="s">
        <v>232</v>
      </c>
      <c r="C125" s="115">
        <v>447926501</v>
      </c>
      <c r="D125" s="116" t="s">
        <v>233</v>
      </c>
      <c r="E125" s="170">
        <f>1*E9</f>
        <v>1</v>
      </c>
      <c r="F125" s="170"/>
      <c r="G125" s="170"/>
      <c r="H125" s="170"/>
      <c r="I125" s="170">
        <f>1*I9</f>
        <v>1</v>
      </c>
      <c r="J125" s="170"/>
      <c r="K125" s="170"/>
      <c r="L125" s="170">
        <f>1*L9</f>
        <v>1</v>
      </c>
      <c r="M125" s="170"/>
      <c r="N125" s="170">
        <f>1*N9</f>
        <v>1</v>
      </c>
      <c r="O125" s="170"/>
      <c r="P125" s="170"/>
      <c r="Q125" s="170"/>
      <c r="R125" s="170"/>
      <c r="S125" s="170"/>
      <c r="T125" s="170"/>
      <c r="U125" s="170"/>
      <c r="V125" s="170"/>
      <c r="W125" s="170"/>
      <c r="X125" s="170"/>
      <c r="Y125" s="170"/>
      <c r="Z125" s="170"/>
      <c r="AA125" s="170"/>
      <c r="AB125" s="170"/>
      <c r="AC125" s="170"/>
      <c r="AD125" s="170"/>
      <c r="AE125" s="170"/>
      <c r="AF125" s="170"/>
      <c r="AG125" s="170"/>
      <c r="AH125" s="170"/>
      <c r="AI125" s="170"/>
      <c r="AJ125" s="170"/>
      <c r="AK125" s="72" t="s">
        <v>525</v>
      </c>
      <c r="AL125" s="73">
        <v>6505</v>
      </c>
      <c r="AM125" s="63">
        <f>'Import-T7.2019'!F120</f>
        <v>18975</v>
      </c>
      <c r="AN125" s="182">
        <f t="shared" si="29"/>
        <v>4</v>
      </c>
      <c r="AO125" s="182">
        <f>'NG T7.2019'!F120</f>
        <v>0</v>
      </c>
      <c r="AP125" s="181">
        <f t="shared" si="30"/>
        <v>25476</v>
      </c>
      <c r="AQ125" s="194" t="s">
        <v>552</v>
      </c>
    </row>
    <row r="126" spans="1:43" ht="15" customHeight="1" x14ac:dyDescent="0.25">
      <c r="A126" s="3">
        <v>32</v>
      </c>
      <c r="B126" s="188" t="s">
        <v>232</v>
      </c>
      <c r="C126" s="115">
        <v>447926511</v>
      </c>
      <c r="D126" s="116" t="s">
        <v>234</v>
      </c>
      <c r="E126" s="170"/>
      <c r="F126" s="170"/>
      <c r="G126" s="170"/>
      <c r="H126" s="170"/>
      <c r="I126" s="170"/>
      <c r="J126" s="170">
        <f>1*J9</f>
        <v>1</v>
      </c>
      <c r="K126" s="170"/>
      <c r="L126" s="170"/>
      <c r="M126" s="170"/>
      <c r="N126" s="170"/>
      <c r="O126" s="170">
        <f>1*O9</f>
        <v>1</v>
      </c>
      <c r="P126" s="170"/>
      <c r="Q126" s="170"/>
      <c r="R126" s="170"/>
      <c r="S126" s="170"/>
      <c r="T126" s="170"/>
      <c r="U126" s="170"/>
      <c r="V126" s="170"/>
      <c r="W126" s="170"/>
      <c r="X126" s="170"/>
      <c r="Y126" s="170"/>
      <c r="Z126" s="170"/>
      <c r="AA126" s="170"/>
      <c r="AB126" s="170"/>
      <c r="AC126" s="170"/>
      <c r="AD126" s="170"/>
      <c r="AE126" s="170"/>
      <c r="AF126" s="170"/>
      <c r="AG126" s="170"/>
      <c r="AH126" s="170"/>
      <c r="AI126" s="170"/>
      <c r="AJ126" s="170"/>
      <c r="AK126" s="72" t="s">
        <v>525</v>
      </c>
      <c r="AL126" s="73">
        <v>16710</v>
      </c>
      <c r="AM126" s="63">
        <f>'Import-T7.2019'!F121</f>
        <v>0</v>
      </c>
      <c r="AN126" s="182">
        <f t="shared" si="29"/>
        <v>2</v>
      </c>
      <c r="AO126" s="182">
        <f>'NG T7.2019'!F121</f>
        <v>0</v>
      </c>
      <c r="AP126" s="181">
        <f t="shared" si="30"/>
        <v>16708</v>
      </c>
      <c r="AQ126" s="194" t="s">
        <v>552</v>
      </c>
    </row>
    <row r="127" spans="1:43" ht="15" customHeight="1" x14ac:dyDescent="0.25">
      <c r="A127" s="3">
        <v>33</v>
      </c>
      <c r="B127" s="188" t="s">
        <v>232</v>
      </c>
      <c r="C127" s="115">
        <v>447926521</v>
      </c>
      <c r="D127" s="116" t="s">
        <v>235</v>
      </c>
      <c r="E127" s="170"/>
      <c r="F127" s="170">
        <f>1*F9</f>
        <v>1</v>
      </c>
      <c r="G127" s="170"/>
      <c r="H127" s="170"/>
      <c r="I127" s="170"/>
      <c r="J127" s="170"/>
      <c r="K127" s="170"/>
      <c r="L127" s="170"/>
      <c r="M127" s="170"/>
      <c r="N127" s="170"/>
      <c r="O127" s="170"/>
      <c r="P127" s="170">
        <f>1*P9</f>
        <v>1</v>
      </c>
      <c r="Q127" s="170"/>
      <c r="R127" s="170"/>
      <c r="S127" s="170"/>
      <c r="T127" s="170"/>
      <c r="U127" s="170"/>
      <c r="V127" s="170"/>
      <c r="W127" s="170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  <c r="AI127" s="170"/>
      <c r="AJ127" s="170"/>
      <c r="AK127" s="72" t="s">
        <v>525</v>
      </c>
      <c r="AL127" s="73">
        <v>1385</v>
      </c>
      <c r="AM127" s="63">
        <f>'Import-T7.2019'!F122</f>
        <v>0</v>
      </c>
      <c r="AN127" s="182">
        <f t="shared" si="29"/>
        <v>2</v>
      </c>
      <c r="AO127" s="182">
        <f>'NG T7.2019'!F122</f>
        <v>0</v>
      </c>
      <c r="AP127" s="181">
        <f t="shared" si="30"/>
        <v>1383</v>
      </c>
      <c r="AQ127" s="194" t="s">
        <v>552</v>
      </c>
    </row>
    <row r="128" spans="1:43" ht="15" customHeight="1" x14ac:dyDescent="0.25">
      <c r="A128" s="3">
        <v>34</v>
      </c>
      <c r="B128" s="188" t="s">
        <v>232</v>
      </c>
      <c r="C128" s="115">
        <v>447926531</v>
      </c>
      <c r="D128" s="116" t="s">
        <v>236</v>
      </c>
      <c r="E128" s="170"/>
      <c r="F128" s="170"/>
      <c r="G128" s="170">
        <f>1*G9</f>
        <v>1</v>
      </c>
      <c r="H128" s="170"/>
      <c r="I128" s="170"/>
      <c r="J128" s="170"/>
      <c r="K128" s="170">
        <f>1*K9</f>
        <v>1</v>
      </c>
      <c r="L128" s="170"/>
      <c r="M128" s="170">
        <f>1*M9</f>
        <v>1</v>
      </c>
      <c r="N128" s="170"/>
      <c r="O128" s="170"/>
      <c r="P128" s="170"/>
      <c r="Q128" s="170">
        <f>1*Q9</f>
        <v>1</v>
      </c>
      <c r="R128" s="170"/>
      <c r="S128" s="170"/>
      <c r="T128" s="170"/>
      <c r="U128" s="170"/>
      <c r="V128" s="170"/>
      <c r="W128" s="170"/>
      <c r="X128" s="170"/>
      <c r="Y128" s="170"/>
      <c r="Z128" s="170"/>
      <c r="AA128" s="170"/>
      <c r="AB128" s="170"/>
      <c r="AC128" s="170"/>
      <c r="AD128" s="170"/>
      <c r="AE128" s="170"/>
      <c r="AF128" s="170"/>
      <c r="AG128" s="170"/>
      <c r="AH128" s="170"/>
      <c r="AI128" s="170"/>
      <c r="AJ128" s="170"/>
      <c r="AK128" s="72" t="s">
        <v>525</v>
      </c>
      <c r="AL128" s="73">
        <v>14000</v>
      </c>
      <c r="AM128" s="63">
        <f>'Import-T7.2019'!F123</f>
        <v>2000</v>
      </c>
      <c r="AN128" s="182">
        <f t="shared" si="29"/>
        <v>4</v>
      </c>
      <c r="AO128" s="182">
        <f>'NG T7.2019'!F123</f>
        <v>0</v>
      </c>
      <c r="AP128" s="181">
        <f t="shared" si="30"/>
        <v>15996</v>
      </c>
      <c r="AQ128" s="194" t="s">
        <v>552</v>
      </c>
    </row>
    <row r="129" spans="1:43" ht="15" customHeight="1" x14ac:dyDescent="0.25">
      <c r="A129" s="3">
        <v>35</v>
      </c>
      <c r="B129" s="188" t="s">
        <v>232</v>
      </c>
      <c r="C129" s="115">
        <v>447926541</v>
      </c>
      <c r="D129" s="116" t="s">
        <v>237</v>
      </c>
      <c r="E129" s="170"/>
      <c r="F129" s="170"/>
      <c r="G129" s="170"/>
      <c r="H129" s="170">
        <f>1*H9</f>
        <v>1</v>
      </c>
      <c r="I129" s="170"/>
      <c r="J129" s="170"/>
      <c r="K129" s="170"/>
      <c r="L129" s="170"/>
      <c r="M129" s="170"/>
      <c r="N129" s="170"/>
      <c r="O129" s="170"/>
      <c r="P129" s="170"/>
      <c r="Q129" s="170"/>
      <c r="R129" s="170">
        <f>1*R9</f>
        <v>1</v>
      </c>
      <c r="S129" s="170"/>
      <c r="T129" s="170"/>
      <c r="U129" s="170"/>
      <c r="V129" s="170"/>
      <c r="W129" s="170"/>
      <c r="X129" s="170"/>
      <c r="Y129" s="170"/>
      <c r="Z129" s="170"/>
      <c r="AA129" s="170"/>
      <c r="AB129" s="170"/>
      <c r="AC129" s="170"/>
      <c r="AD129" s="170"/>
      <c r="AE129" s="170"/>
      <c r="AF129" s="170"/>
      <c r="AG129" s="170"/>
      <c r="AH129" s="170"/>
      <c r="AI129" s="170"/>
      <c r="AJ129" s="170"/>
      <c r="AK129" s="72" t="s">
        <v>525</v>
      </c>
      <c r="AL129" s="73">
        <v>1212</v>
      </c>
      <c r="AM129" s="63">
        <f>'Import-T7.2019'!F124</f>
        <v>0</v>
      </c>
      <c r="AN129" s="182">
        <f t="shared" si="29"/>
        <v>2</v>
      </c>
      <c r="AO129" s="182">
        <f>'NG T7.2019'!F124</f>
        <v>0</v>
      </c>
      <c r="AP129" s="181">
        <f t="shared" si="30"/>
        <v>1210</v>
      </c>
      <c r="AQ129" s="194" t="s">
        <v>552</v>
      </c>
    </row>
    <row r="130" spans="1:43" ht="15" customHeight="1" x14ac:dyDescent="0.25">
      <c r="A130" s="3">
        <v>36</v>
      </c>
      <c r="B130" s="188" t="s">
        <v>238</v>
      </c>
      <c r="C130" s="115"/>
      <c r="D130" s="116" t="s">
        <v>239</v>
      </c>
      <c r="E130" s="170"/>
      <c r="F130" s="170"/>
      <c r="G130" s="170"/>
      <c r="H130" s="170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70">
        <f>1*S9</f>
        <v>1</v>
      </c>
      <c r="T130" s="170"/>
      <c r="U130" s="170"/>
      <c r="V130" s="170"/>
      <c r="W130" s="170"/>
      <c r="X130" s="170">
        <f>1*X9</f>
        <v>1</v>
      </c>
      <c r="Y130" s="170"/>
      <c r="Z130" s="170"/>
      <c r="AA130" s="170"/>
      <c r="AB130" s="170"/>
      <c r="AC130" s="170">
        <f t="shared" ref="AC130:AG130" si="33">1*AC9</f>
        <v>1</v>
      </c>
      <c r="AD130" s="170"/>
      <c r="AE130" s="170"/>
      <c r="AF130" s="170"/>
      <c r="AG130" s="170">
        <f t="shared" si="33"/>
        <v>1</v>
      </c>
      <c r="AH130" s="170"/>
      <c r="AI130" s="170"/>
      <c r="AJ130" s="170"/>
      <c r="AK130" s="72" t="s">
        <v>525</v>
      </c>
      <c r="AL130" s="73"/>
      <c r="AM130" s="63">
        <f>'Import-T7.2019'!F125</f>
        <v>0</v>
      </c>
      <c r="AN130" s="182">
        <f t="shared" si="29"/>
        <v>4</v>
      </c>
      <c r="AO130" s="182">
        <f>'NG T7.2019'!F125</f>
        <v>0</v>
      </c>
      <c r="AP130" s="181">
        <f t="shared" si="30"/>
        <v>-4</v>
      </c>
      <c r="AQ130" s="194" t="s">
        <v>552</v>
      </c>
    </row>
    <row r="131" spans="1:43" ht="15" customHeight="1" x14ac:dyDescent="0.25">
      <c r="A131" s="3">
        <v>37</v>
      </c>
      <c r="B131" s="188" t="s">
        <v>238</v>
      </c>
      <c r="C131" s="115"/>
      <c r="D131" s="116" t="s">
        <v>240</v>
      </c>
      <c r="E131" s="170"/>
      <c r="F131" s="170"/>
      <c r="G131" s="170"/>
      <c r="H131" s="170"/>
      <c r="I131" s="170"/>
      <c r="J131" s="170"/>
      <c r="K131" s="170"/>
      <c r="L131" s="170"/>
      <c r="M131" s="170"/>
      <c r="N131" s="170"/>
      <c r="O131" s="170"/>
      <c r="P131" s="170"/>
      <c r="Q131" s="170"/>
      <c r="R131" s="170"/>
      <c r="S131" s="170"/>
      <c r="T131" s="170">
        <f>1*T9</f>
        <v>1</v>
      </c>
      <c r="U131" s="170"/>
      <c r="V131" s="170"/>
      <c r="W131" s="170"/>
      <c r="X131" s="170"/>
      <c r="Y131" s="170">
        <f>1*Y9</f>
        <v>1</v>
      </c>
      <c r="Z131" s="170"/>
      <c r="AA131" s="170"/>
      <c r="AB131" s="170"/>
      <c r="AC131" s="170"/>
      <c r="AD131" s="170"/>
      <c r="AE131" s="170"/>
      <c r="AF131" s="170"/>
      <c r="AG131" s="170"/>
      <c r="AH131" s="170"/>
      <c r="AI131" s="170"/>
      <c r="AJ131" s="170"/>
      <c r="AK131" s="72" t="s">
        <v>525</v>
      </c>
      <c r="AL131" s="73"/>
      <c r="AM131" s="63">
        <f>'Import-T7.2019'!F126</f>
        <v>0</v>
      </c>
      <c r="AN131" s="182">
        <f t="shared" si="29"/>
        <v>2</v>
      </c>
      <c r="AO131" s="182">
        <f>'NG T7.2019'!F126</f>
        <v>0</v>
      </c>
      <c r="AP131" s="181">
        <f t="shared" si="30"/>
        <v>-2</v>
      </c>
      <c r="AQ131" s="194" t="s">
        <v>552</v>
      </c>
    </row>
    <row r="132" spans="1:43" ht="15" customHeight="1" x14ac:dyDescent="0.25">
      <c r="A132" s="3">
        <v>38</v>
      </c>
      <c r="B132" s="188" t="s">
        <v>238</v>
      </c>
      <c r="C132" s="115"/>
      <c r="D132" s="116" t="s">
        <v>241</v>
      </c>
      <c r="E132" s="170"/>
      <c r="F132" s="170"/>
      <c r="G132" s="170"/>
      <c r="H132" s="170"/>
      <c r="I132" s="170"/>
      <c r="J132" s="170"/>
      <c r="K132" s="170"/>
      <c r="L132" s="170"/>
      <c r="M132" s="170"/>
      <c r="N132" s="170"/>
      <c r="O132" s="170"/>
      <c r="P132" s="170"/>
      <c r="Q132" s="170"/>
      <c r="R132" s="170"/>
      <c r="S132" s="170"/>
      <c r="T132" s="170"/>
      <c r="U132" s="170">
        <f>1*U9</f>
        <v>1</v>
      </c>
      <c r="V132" s="170"/>
      <c r="W132" s="171"/>
      <c r="X132" s="171"/>
      <c r="Y132" s="170"/>
      <c r="Z132" s="170">
        <f>1*Z9</f>
        <v>1</v>
      </c>
      <c r="AA132" s="170"/>
      <c r="AB132" s="170"/>
      <c r="AC132" s="170"/>
      <c r="AD132" s="170">
        <f t="shared" ref="AD132:AH132" si="34">1*AD9</f>
        <v>1</v>
      </c>
      <c r="AE132" s="170"/>
      <c r="AF132" s="170"/>
      <c r="AG132" s="170"/>
      <c r="AH132" s="170">
        <f t="shared" si="34"/>
        <v>1</v>
      </c>
      <c r="AI132" s="170"/>
      <c r="AJ132" s="170"/>
      <c r="AK132" s="72" t="s">
        <v>525</v>
      </c>
      <c r="AL132" s="73"/>
      <c r="AM132" s="63">
        <f>'Import-T7.2019'!F127</f>
        <v>0</v>
      </c>
      <c r="AN132" s="182">
        <f t="shared" si="29"/>
        <v>4</v>
      </c>
      <c r="AO132" s="182">
        <f>'NG T7.2019'!F127</f>
        <v>0</v>
      </c>
      <c r="AP132" s="181">
        <f t="shared" si="30"/>
        <v>-4</v>
      </c>
      <c r="AQ132" s="194" t="s">
        <v>552</v>
      </c>
    </row>
    <row r="133" spans="1:43" ht="15" customHeight="1" x14ac:dyDescent="0.25">
      <c r="A133" s="3">
        <v>39</v>
      </c>
      <c r="B133" s="188" t="s">
        <v>238</v>
      </c>
      <c r="C133" s="115"/>
      <c r="D133" s="116" t="s">
        <v>242</v>
      </c>
      <c r="E133" s="170"/>
      <c r="F133" s="170"/>
      <c r="G133" s="170"/>
      <c r="H133" s="170"/>
      <c r="I133" s="170"/>
      <c r="J133" s="170"/>
      <c r="K133" s="170"/>
      <c r="L133" s="170"/>
      <c r="M133" s="170"/>
      <c r="N133" s="170"/>
      <c r="O133" s="170"/>
      <c r="P133" s="170"/>
      <c r="Q133" s="170"/>
      <c r="R133" s="170"/>
      <c r="S133" s="170"/>
      <c r="T133" s="170"/>
      <c r="U133" s="170"/>
      <c r="V133" s="170">
        <f>1*V9</f>
        <v>1</v>
      </c>
      <c r="W133" s="170"/>
      <c r="X133" s="170"/>
      <c r="Y133" s="170"/>
      <c r="Z133" s="170"/>
      <c r="AA133" s="170">
        <f t="shared" ref="AA133:AI133" si="35">1*AA9</f>
        <v>1</v>
      </c>
      <c r="AB133" s="170"/>
      <c r="AC133" s="170"/>
      <c r="AD133" s="170"/>
      <c r="AE133" s="170">
        <f t="shared" si="35"/>
        <v>1</v>
      </c>
      <c r="AF133" s="170"/>
      <c r="AG133" s="170"/>
      <c r="AH133" s="170"/>
      <c r="AI133" s="170">
        <f t="shared" si="35"/>
        <v>1</v>
      </c>
      <c r="AJ133" s="170"/>
      <c r="AK133" s="72" t="s">
        <v>525</v>
      </c>
      <c r="AL133" s="73"/>
      <c r="AM133" s="63">
        <f>'Import-T7.2019'!F128</f>
        <v>0</v>
      </c>
      <c r="AN133" s="182">
        <f t="shared" si="29"/>
        <v>4</v>
      </c>
      <c r="AO133" s="182">
        <f>'NG T7.2019'!F128</f>
        <v>0</v>
      </c>
      <c r="AP133" s="181">
        <f t="shared" si="30"/>
        <v>-4</v>
      </c>
      <c r="AQ133" s="194" t="s">
        <v>552</v>
      </c>
    </row>
    <row r="134" spans="1:43" ht="15" customHeight="1" x14ac:dyDescent="0.25">
      <c r="A134" s="3">
        <v>40</v>
      </c>
      <c r="B134" s="188" t="s">
        <v>238</v>
      </c>
      <c r="C134" s="115"/>
      <c r="D134" s="116" t="s">
        <v>243</v>
      </c>
      <c r="E134" s="170"/>
      <c r="F134" s="170"/>
      <c r="G134" s="170"/>
      <c r="H134" s="170"/>
      <c r="I134" s="170"/>
      <c r="J134" s="170"/>
      <c r="K134" s="170"/>
      <c r="L134" s="170"/>
      <c r="M134" s="170"/>
      <c r="N134" s="170"/>
      <c r="O134" s="170"/>
      <c r="P134" s="170"/>
      <c r="Q134" s="170"/>
      <c r="R134" s="170"/>
      <c r="S134" s="170"/>
      <c r="T134" s="170"/>
      <c r="U134" s="170"/>
      <c r="V134" s="170"/>
      <c r="W134" s="170">
        <f>1*W9</f>
        <v>1</v>
      </c>
      <c r="X134" s="170"/>
      <c r="Y134" s="170"/>
      <c r="Z134" s="170"/>
      <c r="AA134" s="170"/>
      <c r="AB134" s="170">
        <f t="shared" ref="AB134:AJ134" si="36">1*AB9</f>
        <v>1</v>
      </c>
      <c r="AC134" s="170"/>
      <c r="AD134" s="170"/>
      <c r="AE134" s="170"/>
      <c r="AF134" s="170">
        <f t="shared" si="36"/>
        <v>1</v>
      </c>
      <c r="AG134" s="170"/>
      <c r="AH134" s="170"/>
      <c r="AI134" s="170"/>
      <c r="AJ134" s="170">
        <f t="shared" si="36"/>
        <v>1</v>
      </c>
      <c r="AK134" s="72" t="s">
        <v>525</v>
      </c>
      <c r="AL134" s="73"/>
      <c r="AM134" s="63">
        <f>'Import-T7.2019'!F129</f>
        <v>0</v>
      </c>
      <c r="AN134" s="182">
        <f t="shared" si="29"/>
        <v>4</v>
      </c>
      <c r="AO134" s="182">
        <f>'NG T7.2019'!F129</f>
        <v>0</v>
      </c>
      <c r="AP134" s="181">
        <f t="shared" si="30"/>
        <v>-4</v>
      </c>
      <c r="AQ134" s="194" t="s">
        <v>552</v>
      </c>
    </row>
    <row r="135" spans="1:43" ht="15" customHeight="1" x14ac:dyDescent="0.25">
      <c r="A135" s="3">
        <v>41</v>
      </c>
      <c r="B135" s="188" t="s">
        <v>244</v>
      </c>
      <c r="C135" s="115"/>
      <c r="D135" s="116" t="s">
        <v>245</v>
      </c>
      <c r="E135" s="170"/>
      <c r="F135" s="170"/>
      <c r="G135" s="170"/>
      <c r="H135" s="170"/>
      <c r="I135" s="170"/>
      <c r="J135" s="170"/>
      <c r="K135" s="170"/>
      <c r="L135" s="170"/>
      <c r="M135" s="170"/>
      <c r="N135" s="170"/>
      <c r="O135" s="170"/>
      <c r="P135" s="170"/>
      <c r="Q135" s="170"/>
      <c r="R135" s="170"/>
      <c r="S135" s="170">
        <f>1*S9</f>
        <v>1</v>
      </c>
      <c r="T135" s="170"/>
      <c r="U135" s="170"/>
      <c r="V135" s="170"/>
      <c r="W135" s="170"/>
      <c r="X135" s="170">
        <f>1*X9</f>
        <v>1</v>
      </c>
      <c r="Y135" s="170"/>
      <c r="Z135" s="170"/>
      <c r="AA135" s="170"/>
      <c r="AB135" s="170"/>
      <c r="AC135" s="170">
        <f t="shared" ref="AC135:AG135" si="37">1*AC9</f>
        <v>1</v>
      </c>
      <c r="AD135" s="170"/>
      <c r="AE135" s="170"/>
      <c r="AF135" s="170"/>
      <c r="AG135" s="170">
        <f t="shared" si="37"/>
        <v>1</v>
      </c>
      <c r="AH135" s="170"/>
      <c r="AI135" s="170"/>
      <c r="AJ135" s="170"/>
      <c r="AK135" s="72" t="s">
        <v>525</v>
      </c>
      <c r="AL135" s="73"/>
      <c r="AM135" s="63">
        <f>'Import-T7.2019'!F130</f>
        <v>0</v>
      </c>
      <c r="AN135" s="182">
        <f t="shared" si="29"/>
        <v>4</v>
      </c>
      <c r="AO135" s="182">
        <f>'NG T7.2019'!F130</f>
        <v>0</v>
      </c>
      <c r="AP135" s="181">
        <f t="shared" si="30"/>
        <v>-4</v>
      </c>
      <c r="AQ135" s="194" t="s">
        <v>552</v>
      </c>
    </row>
    <row r="136" spans="1:43" ht="15" customHeight="1" x14ac:dyDescent="0.25">
      <c r="A136" s="3">
        <v>42</v>
      </c>
      <c r="B136" s="188" t="s">
        <v>244</v>
      </c>
      <c r="C136" s="115"/>
      <c r="D136" s="116" t="s">
        <v>246</v>
      </c>
      <c r="E136" s="170"/>
      <c r="F136" s="170"/>
      <c r="G136" s="170"/>
      <c r="H136" s="170"/>
      <c r="I136" s="170"/>
      <c r="J136" s="170"/>
      <c r="K136" s="170"/>
      <c r="L136" s="170"/>
      <c r="M136" s="170"/>
      <c r="N136" s="170"/>
      <c r="O136" s="170"/>
      <c r="P136" s="170"/>
      <c r="Q136" s="170"/>
      <c r="R136" s="170"/>
      <c r="S136" s="170"/>
      <c r="T136" s="170">
        <f>1*T9</f>
        <v>1</v>
      </c>
      <c r="U136" s="170"/>
      <c r="V136" s="170"/>
      <c r="W136" s="170"/>
      <c r="X136" s="170"/>
      <c r="Y136" s="170">
        <f>1*Y9</f>
        <v>1</v>
      </c>
      <c r="Z136" s="170"/>
      <c r="AA136" s="170"/>
      <c r="AB136" s="170"/>
      <c r="AC136" s="170"/>
      <c r="AD136" s="170"/>
      <c r="AE136" s="170"/>
      <c r="AF136" s="170"/>
      <c r="AG136" s="170"/>
      <c r="AH136" s="170"/>
      <c r="AI136" s="170"/>
      <c r="AJ136" s="170"/>
      <c r="AK136" s="72" t="s">
        <v>525</v>
      </c>
      <c r="AL136" s="73"/>
      <c r="AM136" s="63">
        <f>'Import-T7.2019'!F131</f>
        <v>0</v>
      </c>
      <c r="AN136" s="182">
        <f t="shared" si="29"/>
        <v>2</v>
      </c>
      <c r="AO136" s="182">
        <f>'NG T7.2019'!F131</f>
        <v>0</v>
      </c>
      <c r="AP136" s="181">
        <f t="shared" si="30"/>
        <v>-2</v>
      </c>
      <c r="AQ136" s="194" t="s">
        <v>552</v>
      </c>
    </row>
    <row r="137" spans="1:43" ht="15" customHeight="1" x14ac:dyDescent="0.25">
      <c r="A137" s="3">
        <v>43</v>
      </c>
      <c r="B137" s="188" t="s">
        <v>244</v>
      </c>
      <c r="C137" s="115"/>
      <c r="D137" s="116" t="s">
        <v>247</v>
      </c>
      <c r="E137" s="170"/>
      <c r="F137" s="170"/>
      <c r="G137" s="170"/>
      <c r="H137" s="170"/>
      <c r="I137" s="170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>
        <f>1*U9</f>
        <v>1</v>
      </c>
      <c r="V137" s="170"/>
      <c r="W137" s="170"/>
      <c r="X137" s="170"/>
      <c r="Y137" s="170"/>
      <c r="Z137" s="170">
        <f>1*Z9</f>
        <v>1</v>
      </c>
      <c r="AA137" s="170"/>
      <c r="AB137" s="170"/>
      <c r="AC137" s="170"/>
      <c r="AD137" s="170">
        <f t="shared" ref="AD137:AH137" si="38">1*AD9</f>
        <v>1</v>
      </c>
      <c r="AE137" s="170"/>
      <c r="AF137" s="170"/>
      <c r="AG137" s="170"/>
      <c r="AH137" s="170">
        <f t="shared" si="38"/>
        <v>1</v>
      </c>
      <c r="AI137" s="170"/>
      <c r="AJ137" s="170"/>
      <c r="AK137" s="72" t="s">
        <v>525</v>
      </c>
      <c r="AL137" s="73"/>
      <c r="AM137" s="63">
        <f>'Import-T7.2019'!F132</f>
        <v>0</v>
      </c>
      <c r="AN137" s="182">
        <f t="shared" si="29"/>
        <v>4</v>
      </c>
      <c r="AO137" s="182">
        <f>'NG T7.2019'!F132</f>
        <v>0</v>
      </c>
      <c r="AP137" s="181">
        <f t="shared" si="30"/>
        <v>-4</v>
      </c>
      <c r="AQ137" s="194" t="s">
        <v>552</v>
      </c>
    </row>
    <row r="138" spans="1:43" ht="15" customHeight="1" x14ac:dyDescent="0.25">
      <c r="A138" s="3">
        <v>44</v>
      </c>
      <c r="B138" s="188" t="s">
        <v>244</v>
      </c>
      <c r="C138" s="115"/>
      <c r="D138" s="116" t="s">
        <v>248</v>
      </c>
      <c r="E138" s="170"/>
      <c r="F138" s="170"/>
      <c r="G138" s="170"/>
      <c r="H138" s="170"/>
      <c r="I138" s="170"/>
      <c r="J138" s="170"/>
      <c r="K138" s="170"/>
      <c r="L138" s="170"/>
      <c r="M138" s="170"/>
      <c r="N138" s="170"/>
      <c r="O138" s="170"/>
      <c r="P138" s="170"/>
      <c r="Q138" s="170"/>
      <c r="R138" s="170"/>
      <c r="S138" s="170"/>
      <c r="T138" s="170"/>
      <c r="U138" s="170"/>
      <c r="V138" s="170">
        <f>1*V9</f>
        <v>1</v>
      </c>
      <c r="W138" s="170"/>
      <c r="X138" s="170"/>
      <c r="Y138" s="170"/>
      <c r="Z138" s="170"/>
      <c r="AA138" s="170">
        <f t="shared" ref="AA138:AI138" si="39">1*AA9</f>
        <v>1</v>
      </c>
      <c r="AB138" s="170"/>
      <c r="AC138" s="170"/>
      <c r="AD138" s="170"/>
      <c r="AE138" s="170">
        <f t="shared" si="39"/>
        <v>1</v>
      </c>
      <c r="AF138" s="170"/>
      <c r="AG138" s="170"/>
      <c r="AH138" s="170"/>
      <c r="AI138" s="170">
        <f t="shared" si="39"/>
        <v>1</v>
      </c>
      <c r="AJ138" s="170"/>
      <c r="AK138" s="72" t="s">
        <v>525</v>
      </c>
      <c r="AL138" s="73"/>
      <c r="AM138" s="63">
        <f>'Import-T7.2019'!F133</f>
        <v>0</v>
      </c>
      <c r="AN138" s="182">
        <f t="shared" si="29"/>
        <v>4</v>
      </c>
      <c r="AO138" s="182">
        <f>'NG T7.2019'!F133</f>
        <v>0</v>
      </c>
      <c r="AP138" s="181">
        <f t="shared" si="30"/>
        <v>-4</v>
      </c>
      <c r="AQ138" s="194" t="s">
        <v>552</v>
      </c>
    </row>
    <row r="139" spans="1:43" ht="15" customHeight="1" x14ac:dyDescent="0.25">
      <c r="A139" s="3">
        <v>45</v>
      </c>
      <c r="B139" s="188" t="s">
        <v>244</v>
      </c>
      <c r="C139" s="115"/>
      <c r="D139" s="116" t="s">
        <v>249</v>
      </c>
      <c r="E139" s="170"/>
      <c r="F139" s="170"/>
      <c r="G139" s="170"/>
      <c r="H139" s="170"/>
      <c r="I139" s="170"/>
      <c r="J139" s="170"/>
      <c r="K139" s="170"/>
      <c r="L139" s="170"/>
      <c r="M139" s="170"/>
      <c r="N139" s="170"/>
      <c r="O139" s="170"/>
      <c r="P139" s="170"/>
      <c r="Q139" s="170"/>
      <c r="R139" s="170"/>
      <c r="S139" s="170"/>
      <c r="T139" s="170"/>
      <c r="U139" s="170"/>
      <c r="V139" s="170"/>
      <c r="W139" s="170">
        <f>1*W9</f>
        <v>1</v>
      </c>
      <c r="X139" s="170"/>
      <c r="Y139" s="170"/>
      <c r="Z139" s="170"/>
      <c r="AA139" s="170"/>
      <c r="AB139" s="170">
        <f t="shared" ref="AB139:AJ139" si="40">1*AB9</f>
        <v>1</v>
      </c>
      <c r="AC139" s="170"/>
      <c r="AD139" s="170"/>
      <c r="AE139" s="170"/>
      <c r="AF139" s="170">
        <f t="shared" si="40"/>
        <v>1</v>
      </c>
      <c r="AG139" s="170"/>
      <c r="AH139" s="170"/>
      <c r="AI139" s="170"/>
      <c r="AJ139" s="170">
        <f t="shared" si="40"/>
        <v>1</v>
      </c>
      <c r="AK139" s="72" t="s">
        <v>525</v>
      </c>
      <c r="AL139" s="73"/>
      <c r="AM139" s="63">
        <f>'Import-T7.2019'!F134</f>
        <v>0</v>
      </c>
      <c r="AN139" s="182">
        <f t="shared" si="29"/>
        <v>4</v>
      </c>
      <c r="AO139" s="182">
        <f>'NG T7.2019'!F134</f>
        <v>0</v>
      </c>
      <c r="AP139" s="181">
        <f t="shared" si="30"/>
        <v>-4</v>
      </c>
      <c r="AQ139" s="194" t="s">
        <v>552</v>
      </c>
    </row>
    <row r="140" spans="1:43" ht="15" customHeight="1" x14ac:dyDescent="0.25">
      <c r="A140" s="3">
        <v>46</v>
      </c>
      <c r="B140" s="188" t="s">
        <v>250</v>
      </c>
      <c r="C140" s="119">
        <v>459668931</v>
      </c>
      <c r="D140" s="86" t="s">
        <v>251</v>
      </c>
      <c r="E140" s="170">
        <f>1*E9</f>
        <v>1</v>
      </c>
      <c r="F140" s="170">
        <f>1*F9</f>
        <v>1</v>
      </c>
      <c r="G140" s="170">
        <f>1*G9</f>
        <v>1</v>
      </c>
      <c r="H140" s="170">
        <f>1*H9</f>
        <v>1</v>
      </c>
      <c r="I140" s="170"/>
      <c r="J140" s="170"/>
      <c r="K140" s="170"/>
      <c r="L140" s="170"/>
      <c r="M140" s="170"/>
      <c r="N140" s="170"/>
      <c r="O140" s="170"/>
      <c r="P140" s="170"/>
      <c r="Q140" s="170"/>
      <c r="R140" s="170"/>
      <c r="S140" s="170"/>
      <c r="T140" s="170"/>
      <c r="U140" s="170"/>
      <c r="V140" s="170"/>
      <c r="W140" s="170"/>
      <c r="X140" s="170"/>
      <c r="Y140" s="170"/>
      <c r="Z140" s="170"/>
      <c r="AA140" s="170"/>
      <c r="AB140" s="170"/>
      <c r="AC140" s="170"/>
      <c r="AD140" s="170"/>
      <c r="AE140" s="170"/>
      <c r="AF140" s="170"/>
      <c r="AG140" s="170"/>
      <c r="AH140" s="170"/>
      <c r="AI140" s="170"/>
      <c r="AJ140" s="170"/>
      <c r="AK140" s="72" t="s">
        <v>525</v>
      </c>
      <c r="AL140" s="73">
        <v>66000</v>
      </c>
      <c r="AM140" s="63">
        <f>'Import-T7.2019'!F135</f>
        <v>0</v>
      </c>
      <c r="AN140" s="182">
        <f t="shared" si="29"/>
        <v>4</v>
      </c>
      <c r="AO140" s="182">
        <f>'NG T7.2019'!F135</f>
        <v>0</v>
      </c>
      <c r="AP140" s="181">
        <f t="shared" si="30"/>
        <v>65996</v>
      </c>
      <c r="AQ140" s="194" t="s">
        <v>563</v>
      </c>
    </row>
    <row r="141" spans="1:43" ht="15" customHeight="1" x14ac:dyDescent="0.25">
      <c r="A141" s="3">
        <v>47</v>
      </c>
      <c r="B141" s="188" t="s">
        <v>250</v>
      </c>
      <c r="C141" s="119" t="s">
        <v>252</v>
      </c>
      <c r="D141" s="86" t="s">
        <v>253</v>
      </c>
      <c r="E141" s="170"/>
      <c r="F141" s="170"/>
      <c r="G141" s="170"/>
      <c r="H141" s="170"/>
      <c r="I141" s="170">
        <f>1*I9</f>
        <v>1</v>
      </c>
      <c r="J141" s="170">
        <f>1*J9</f>
        <v>1</v>
      </c>
      <c r="K141" s="170">
        <f>1*K9</f>
        <v>1</v>
      </c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  <c r="AI141" s="170"/>
      <c r="AJ141" s="170"/>
      <c r="AK141" s="72" t="s">
        <v>525</v>
      </c>
      <c r="AL141" s="73">
        <v>2200</v>
      </c>
      <c r="AM141" s="63">
        <f>'Import-T7.2019'!F136</f>
        <v>0</v>
      </c>
      <c r="AN141" s="182">
        <f t="shared" si="29"/>
        <v>3</v>
      </c>
      <c r="AO141" s="182">
        <f>'NG T7.2019'!F136</f>
        <v>0</v>
      </c>
      <c r="AP141" s="181">
        <f t="shared" si="30"/>
        <v>2197</v>
      </c>
      <c r="AQ141" s="194" t="s">
        <v>563</v>
      </c>
    </row>
    <row r="142" spans="1:43" ht="15" customHeight="1" x14ac:dyDescent="0.25">
      <c r="A142" s="3">
        <v>48</v>
      </c>
      <c r="B142" s="188" t="s">
        <v>250</v>
      </c>
      <c r="C142" s="119" t="s">
        <v>254</v>
      </c>
      <c r="D142" s="86" t="s">
        <v>255</v>
      </c>
      <c r="E142" s="170"/>
      <c r="F142" s="170"/>
      <c r="G142" s="170"/>
      <c r="H142" s="170"/>
      <c r="I142" s="170"/>
      <c r="J142" s="170"/>
      <c r="K142" s="170"/>
      <c r="L142" s="170">
        <f>1*L9</f>
        <v>1</v>
      </c>
      <c r="M142" s="170">
        <f>1*M9</f>
        <v>1</v>
      </c>
      <c r="N142" s="170">
        <f>1*N9</f>
        <v>1</v>
      </c>
      <c r="O142" s="170"/>
      <c r="P142" s="170"/>
      <c r="Q142" s="170"/>
      <c r="R142" s="170"/>
      <c r="S142" s="170"/>
      <c r="T142" s="170"/>
      <c r="U142" s="170"/>
      <c r="V142" s="170"/>
      <c r="W142" s="170"/>
      <c r="X142" s="170"/>
      <c r="Y142" s="170"/>
      <c r="Z142" s="170"/>
      <c r="AA142" s="170"/>
      <c r="AB142" s="170"/>
      <c r="AC142" s="170"/>
      <c r="AD142" s="170"/>
      <c r="AE142" s="170"/>
      <c r="AF142" s="170"/>
      <c r="AG142" s="170"/>
      <c r="AH142" s="170"/>
      <c r="AI142" s="170"/>
      <c r="AJ142" s="170"/>
      <c r="AK142" s="72" t="s">
        <v>525</v>
      </c>
      <c r="AL142" s="73">
        <v>62560</v>
      </c>
      <c r="AM142" s="63">
        <f>'Import-T7.2019'!F137</f>
        <v>0</v>
      </c>
      <c r="AN142" s="182">
        <f t="shared" si="29"/>
        <v>3</v>
      </c>
      <c r="AO142" s="182">
        <f>'NG T7.2019'!F137</f>
        <v>0</v>
      </c>
      <c r="AP142" s="181">
        <f t="shared" si="30"/>
        <v>62557</v>
      </c>
      <c r="AQ142" s="194" t="s">
        <v>563</v>
      </c>
    </row>
    <row r="143" spans="1:43" ht="15" customHeight="1" x14ac:dyDescent="0.25">
      <c r="A143" s="3">
        <v>49</v>
      </c>
      <c r="B143" s="188" t="s">
        <v>250</v>
      </c>
      <c r="C143" s="120">
        <v>459910512</v>
      </c>
      <c r="D143" s="121" t="s">
        <v>256</v>
      </c>
      <c r="E143" s="172">
        <f>1*E9</f>
        <v>1</v>
      </c>
      <c r="F143" s="172">
        <f>1*F9</f>
        <v>1</v>
      </c>
      <c r="G143" s="172">
        <f>1*G9</f>
        <v>1</v>
      </c>
      <c r="H143" s="172">
        <f>1*H9</f>
        <v>1</v>
      </c>
      <c r="I143" s="172"/>
      <c r="J143" s="172"/>
      <c r="K143" s="172"/>
      <c r="L143" s="172"/>
      <c r="M143" s="172"/>
      <c r="N143" s="172"/>
      <c r="O143" s="172"/>
      <c r="P143" s="172"/>
      <c r="Q143" s="172"/>
      <c r="R143" s="172"/>
      <c r="S143" s="172"/>
      <c r="T143" s="172"/>
      <c r="U143" s="172"/>
      <c r="V143" s="172"/>
      <c r="W143" s="172"/>
      <c r="X143" s="172"/>
      <c r="Y143" s="172"/>
      <c r="Z143" s="172"/>
      <c r="AA143" s="172"/>
      <c r="AB143" s="172"/>
      <c r="AC143" s="172"/>
      <c r="AD143" s="172"/>
      <c r="AE143" s="172"/>
      <c r="AF143" s="172"/>
      <c r="AG143" s="172"/>
      <c r="AH143" s="172"/>
      <c r="AI143" s="172"/>
      <c r="AJ143" s="172"/>
      <c r="AK143" s="72" t="s">
        <v>525</v>
      </c>
      <c r="AL143" s="73">
        <v>64450</v>
      </c>
      <c r="AM143" s="63">
        <f>'Import-T7.2019'!F138</f>
        <v>0</v>
      </c>
      <c r="AN143" s="182">
        <f t="shared" si="29"/>
        <v>4</v>
      </c>
      <c r="AO143" s="182">
        <f>'NG T7.2019'!F138</f>
        <v>0</v>
      </c>
      <c r="AP143" s="181">
        <f t="shared" si="30"/>
        <v>64446</v>
      </c>
      <c r="AQ143" s="194" t="s">
        <v>563</v>
      </c>
    </row>
    <row r="144" spans="1:43" ht="15" customHeight="1" x14ac:dyDescent="0.25">
      <c r="A144" s="3">
        <v>50</v>
      </c>
      <c r="B144" s="188" t="s">
        <v>257</v>
      </c>
      <c r="C144" s="120" t="s">
        <v>258</v>
      </c>
      <c r="D144" s="121" t="s">
        <v>259</v>
      </c>
      <c r="E144" s="172"/>
      <c r="F144" s="172"/>
      <c r="G144" s="172"/>
      <c r="H144" s="172"/>
      <c r="I144" s="172"/>
      <c r="J144" s="172"/>
      <c r="K144" s="172"/>
      <c r="L144" s="172"/>
      <c r="M144" s="172"/>
      <c r="N144" s="172">
        <f t="shared" ref="N144:S144" si="41">1*N9</f>
        <v>1</v>
      </c>
      <c r="O144" s="172">
        <f t="shared" si="41"/>
        <v>1</v>
      </c>
      <c r="P144" s="172">
        <f t="shared" si="41"/>
        <v>1</v>
      </c>
      <c r="Q144" s="172">
        <f t="shared" si="41"/>
        <v>1</v>
      </c>
      <c r="R144" s="172">
        <f t="shared" si="41"/>
        <v>1</v>
      </c>
      <c r="S144" s="172">
        <f t="shared" si="41"/>
        <v>1</v>
      </c>
      <c r="T144" s="172"/>
      <c r="U144" s="172"/>
      <c r="V144" s="172"/>
      <c r="W144" s="172"/>
      <c r="X144" s="172"/>
      <c r="Y144" s="172"/>
      <c r="Z144" s="172"/>
      <c r="AA144" s="172"/>
      <c r="AB144" s="172"/>
      <c r="AC144" s="172"/>
      <c r="AD144" s="172"/>
      <c r="AE144" s="172"/>
      <c r="AF144" s="172"/>
      <c r="AG144" s="172"/>
      <c r="AH144" s="172"/>
      <c r="AI144" s="172"/>
      <c r="AJ144" s="172"/>
      <c r="AK144" s="72" t="s">
        <v>525</v>
      </c>
      <c r="AL144" s="73">
        <v>220300</v>
      </c>
      <c r="AM144" s="63">
        <f>'Import-T7.2019'!F139</f>
        <v>0</v>
      </c>
      <c r="AN144" s="182">
        <f t="shared" si="29"/>
        <v>6</v>
      </c>
      <c r="AO144" s="182">
        <f>'NG T7.2019'!F139</f>
        <v>0</v>
      </c>
      <c r="AP144" s="181">
        <f t="shared" si="30"/>
        <v>220294</v>
      </c>
      <c r="AQ144" s="194" t="s">
        <v>563</v>
      </c>
    </row>
    <row r="145" spans="1:43" ht="15" customHeight="1" x14ac:dyDescent="0.25">
      <c r="A145" s="3">
        <v>51</v>
      </c>
      <c r="B145" s="188" t="s">
        <v>257</v>
      </c>
      <c r="C145" s="120" t="s">
        <v>260</v>
      </c>
      <c r="D145" s="121" t="s">
        <v>259</v>
      </c>
      <c r="E145" s="172"/>
      <c r="F145" s="172"/>
      <c r="G145" s="172"/>
      <c r="H145" s="172"/>
      <c r="I145" s="172"/>
      <c r="J145" s="172"/>
      <c r="K145" s="172"/>
      <c r="L145" s="172"/>
      <c r="M145" s="172"/>
      <c r="N145" s="172">
        <f t="shared" ref="N145:S145" si="42">1*N9</f>
        <v>1</v>
      </c>
      <c r="O145" s="172">
        <f t="shared" si="42"/>
        <v>1</v>
      </c>
      <c r="P145" s="172">
        <f t="shared" si="42"/>
        <v>1</v>
      </c>
      <c r="Q145" s="172">
        <f t="shared" si="42"/>
        <v>1</v>
      </c>
      <c r="R145" s="172">
        <f t="shared" si="42"/>
        <v>1</v>
      </c>
      <c r="S145" s="172">
        <f t="shared" si="42"/>
        <v>1</v>
      </c>
      <c r="T145" s="172"/>
      <c r="U145" s="172"/>
      <c r="V145" s="172"/>
      <c r="W145" s="172"/>
      <c r="X145" s="172"/>
      <c r="Y145" s="172"/>
      <c r="Z145" s="172"/>
      <c r="AA145" s="172"/>
      <c r="AB145" s="172"/>
      <c r="AC145" s="172"/>
      <c r="AD145" s="172"/>
      <c r="AE145" s="172"/>
      <c r="AF145" s="172"/>
      <c r="AG145" s="172"/>
      <c r="AH145" s="172"/>
      <c r="AI145" s="172"/>
      <c r="AJ145" s="172"/>
      <c r="AK145" s="72" t="s">
        <v>525</v>
      </c>
      <c r="AL145" s="73">
        <v>219750</v>
      </c>
      <c r="AM145" s="63">
        <f>'Import-T7.2019'!F140</f>
        <v>0</v>
      </c>
      <c r="AN145" s="182">
        <f t="shared" si="29"/>
        <v>6</v>
      </c>
      <c r="AO145" s="182">
        <f>'NG T7.2019'!F140</f>
        <v>0</v>
      </c>
      <c r="AP145" s="181">
        <f t="shared" si="30"/>
        <v>219744</v>
      </c>
      <c r="AQ145" s="194" t="s">
        <v>563</v>
      </c>
    </row>
    <row r="146" spans="1:43" ht="15" customHeight="1" x14ac:dyDescent="0.25">
      <c r="A146" s="3">
        <v>52</v>
      </c>
      <c r="B146" s="188" t="s">
        <v>588</v>
      </c>
      <c r="C146" s="120" t="s">
        <v>262</v>
      </c>
      <c r="D146" s="121" t="s">
        <v>263</v>
      </c>
      <c r="E146" s="172"/>
      <c r="F146" s="172"/>
      <c r="G146" s="172"/>
      <c r="H146" s="172"/>
      <c r="I146" s="172"/>
      <c r="J146" s="172"/>
      <c r="K146" s="172"/>
      <c r="L146" s="172"/>
      <c r="M146" s="172"/>
      <c r="N146" s="172"/>
      <c r="O146" s="172"/>
      <c r="P146" s="172"/>
      <c r="Q146" s="172"/>
      <c r="R146" s="172"/>
      <c r="S146" s="172">
        <f>1*S9</f>
        <v>1</v>
      </c>
      <c r="T146" s="172">
        <f>1*T9</f>
        <v>1</v>
      </c>
      <c r="U146" s="172">
        <f>1*U9</f>
        <v>1</v>
      </c>
      <c r="V146" s="172">
        <f t="shared" ref="V146" si="43">1*V9</f>
        <v>1</v>
      </c>
      <c r="W146" s="172">
        <f>1*W9</f>
        <v>1</v>
      </c>
      <c r="X146" s="172"/>
      <c r="Y146" s="172"/>
      <c r="Z146" s="172"/>
      <c r="AA146" s="172"/>
      <c r="AB146" s="172"/>
      <c r="AC146" s="172"/>
      <c r="AD146" s="172"/>
      <c r="AE146" s="172"/>
      <c r="AF146" s="172"/>
      <c r="AG146" s="172"/>
      <c r="AH146" s="172"/>
      <c r="AI146" s="172"/>
      <c r="AJ146" s="172"/>
      <c r="AK146" s="72" t="s">
        <v>525</v>
      </c>
      <c r="AL146" s="73"/>
      <c r="AM146" s="63">
        <f>'Import-T7.2019'!F141</f>
        <v>0</v>
      </c>
      <c r="AN146" s="182">
        <f t="shared" si="29"/>
        <v>5</v>
      </c>
      <c r="AO146" s="182">
        <f>'NG T7.2019'!F141</f>
        <v>0</v>
      </c>
      <c r="AP146" s="181">
        <f t="shared" si="30"/>
        <v>-5</v>
      </c>
      <c r="AQ146" s="194" t="s">
        <v>563</v>
      </c>
    </row>
    <row r="147" spans="1:43" ht="15" customHeight="1" x14ac:dyDescent="0.25">
      <c r="A147" s="3">
        <v>53</v>
      </c>
      <c r="B147" s="188" t="s">
        <v>588</v>
      </c>
      <c r="C147" s="120" t="s">
        <v>264</v>
      </c>
      <c r="D147" s="121" t="s">
        <v>265</v>
      </c>
      <c r="E147" s="172"/>
      <c r="F147" s="172"/>
      <c r="G147" s="172"/>
      <c r="H147" s="172"/>
      <c r="I147" s="172"/>
      <c r="J147" s="172"/>
      <c r="K147" s="172"/>
      <c r="L147" s="172"/>
      <c r="M147" s="172"/>
      <c r="N147" s="172"/>
      <c r="O147" s="172"/>
      <c r="P147" s="172"/>
      <c r="Q147" s="172"/>
      <c r="R147" s="172"/>
      <c r="S147" s="172"/>
      <c r="T147" s="172"/>
      <c r="U147" s="172"/>
      <c r="V147" s="172"/>
      <c r="W147" s="172"/>
      <c r="X147" s="172">
        <f t="shared" ref="X147:AB147" si="44">1*X9</f>
        <v>1</v>
      </c>
      <c r="Y147" s="172">
        <f t="shared" si="44"/>
        <v>1</v>
      </c>
      <c r="Z147" s="172">
        <f t="shared" si="44"/>
        <v>1</v>
      </c>
      <c r="AA147" s="172">
        <f t="shared" si="44"/>
        <v>1</v>
      </c>
      <c r="AB147" s="172">
        <f t="shared" si="44"/>
        <v>1</v>
      </c>
      <c r="AC147" s="172"/>
      <c r="AD147" s="172"/>
      <c r="AE147" s="172"/>
      <c r="AF147" s="172"/>
      <c r="AG147" s="172"/>
      <c r="AH147" s="172"/>
      <c r="AI147" s="172"/>
      <c r="AJ147" s="172"/>
      <c r="AK147" s="72" t="s">
        <v>525</v>
      </c>
      <c r="AL147" s="73"/>
      <c r="AM147" s="63">
        <f>'Import-T7.2019'!F142</f>
        <v>0</v>
      </c>
      <c r="AN147" s="182">
        <f t="shared" si="29"/>
        <v>5</v>
      </c>
      <c r="AO147" s="182">
        <f>'NG T7.2019'!F142</f>
        <v>0</v>
      </c>
      <c r="AP147" s="181">
        <f t="shared" si="30"/>
        <v>-5</v>
      </c>
      <c r="AQ147" s="194" t="s">
        <v>563</v>
      </c>
    </row>
    <row r="148" spans="1:43" ht="15" customHeight="1" x14ac:dyDescent="0.25">
      <c r="A148" s="3">
        <v>54</v>
      </c>
      <c r="B148" s="188" t="s">
        <v>588</v>
      </c>
      <c r="C148" s="120" t="s">
        <v>266</v>
      </c>
      <c r="D148" s="121" t="s">
        <v>267</v>
      </c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2"/>
      <c r="P148" s="172"/>
      <c r="Q148" s="172"/>
      <c r="R148" s="172"/>
      <c r="S148" s="172"/>
      <c r="T148" s="172"/>
      <c r="U148" s="172"/>
      <c r="V148" s="172"/>
      <c r="W148" s="172"/>
      <c r="X148" s="172">
        <f t="shared" ref="X148:AB148" si="45">1*X9</f>
        <v>1</v>
      </c>
      <c r="Y148" s="172">
        <f t="shared" si="45"/>
        <v>1</v>
      </c>
      <c r="Z148" s="172">
        <f t="shared" si="45"/>
        <v>1</v>
      </c>
      <c r="AA148" s="172">
        <f t="shared" si="45"/>
        <v>1</v>
      </c>
      <c r="AB148" s="172">
        <f t="shared" si="45"/>
        <v>1</v>
      </c>
      <c r="AC148" s="172"/>
      <c r="AD148" s="172"/>
      <c r="AE148" s="172"/>
      <c r="AF148" s="172"/>
      <c r="AG148" s="172"/>
      <c r="AH148" s="172"/>
      <c r="AI148" s="172"/>
      <c r="AJ148" s="172"/>
      <c r="AK148" s="72" t="s">
        <v>525</v>
      </c>
      <c r="AL148" s="73"/>
      <c r="AM148" s="63">
        <f>'Import-T7.2019'!F143</f>
        <v>0</v>
      </c>
      <c r="AN148" s="182">
        <f t="shared" si="29"/>
        <v>5</v>
      </c>
      <c r="AO148" s="182">
        <f>'NG T7.2019'!F143</f>
        <v>0</v>
      </c>
      <c r="AP148" s="181">
        <f t="shared" si="30"/>
        <v>-5</v>
      </c>
      <c r="AQ148" s="194" t="s">
        <v>563</v>
      </c>
    </row>
    <row r="149" spans="1:43" ht="15" customHeight="1" x14ac:dyDescent="0.25">
      <c r="A149" s="3">
        <v>55</v>
      </c>
      <c r="B149" s="188" t="s">
        <v>588</v>
      </c>
      <c r="C149" s="120" t="s">
        <v>268</v>
      </c>
      <c r="D149" s="121" t="s">
        <v>269</v>
      </c>
      <c r="E149" s="172"/>
      <c r="F149" s="172"/>
      <c r="G149" s="172"/>
      <c r="H149" s="172"/>
      <c r="I149" s="172"/>
      <c r="J149" s="172"/>
      <c r="K149" s="172"/>
      <c r="L149" s="172"/>
      <c r="M149" s="172"/>
      <c r="N149" s="172"/>
      <c r="O149" s="172"/>
      <c r="P149" s="172"/>
      <c r="Q149" s="172"/>
      <c r="R149" s="172"/>
      <c r="S149" s="172"/>
      <c r="T149" s="172"/>
      <c r="U149" s="172"/>
      <c r="V149" s="172"/>
      <c r="W149" s="172"/>
      <c r="X149" s="172"/>
      <c r="Y149" s="172"/>
      <c r="Z149" s="172"/>
      <c r="AA149" s="172"/>
      <c r="AB149" s="172"/>
      <c r="AC149" s="172"/>
      <c r="AD149" s="172"/>
      <c r="AE149" s="172"/>
      <c r="AF149" s="172"/>
      <c r="AG149" s="172">
        <f>1*AG9</f>
        <v>1</v>
      </c>
      <c r="AH149" s="172">
        <f t="shared" ref="AH149:AJ149" si="46">1*AH9</f>
        <v>1</v>
      </c>
      <c r="AI149" s="172">
        <f t="shared" si="46"/>
        <v>1</v>
      </c>
      <c r="AJ149" s="172">
        <f t="shared" si="46"/>
        <v>1</v>
      </c>
      <c r="AK149" s="72" t="s">
        <v>525</v>
      </c>
      <c r="AL149" s="73"/>
      <c r="AM149" s="63">
        <f>'Import-T7.2019'!F144</f>
        <v>0</v>
      </c>
      <c r="AN149" s="182">
        <f t="shared" si="29"/>
        <v>4</v>
      </c>
      <c r="AO149" s="182">
        <f>'NG T7.2019'!F144</f>
        <v>0</v>
      </c>
      <c r="AP149" s="181">
        <f t="shared" si="30"/>
        <v>-4</v>
      </c>
      <c r="AQ149" s="194" t="s">
        <v>563</v>
      </c>
    </row>
    <row r="150" spans="1:43" ht="15" customHeight="1" x14ac:dyDescent="0.25">
      <c r="A150" s="3">
        <v>56</v>
      </c>
      <c r="B150" s="188" t="s">
        <v>588</v>
      </c>
      <c r="C150" s="120" t="s">
        <v>270</v>
      </c>
      <c r="D150" s="121" t="s">
        <v>271</v>
      </c>
      <c r="E150" s="172"/>
      <c r="F150" s="172"/>
      <c r="G150" s="172"/>
      <c r="H150" s="172"/>
      <c r="I150" s="172"/>
      <c r="J150" s="172"/>
      <c r="K150" s="172"/>
      <c r="L150" s="172"/>
      <c r="M150" s="172"/>
      <c r="N150" s="172"/>
      <c r="O150" s="172"/>
      <c r="P150" s="172"/>
      <c r="Q150" s="172"/>
      <c r="R150" s="172"/>
      <c r="S150" s="172"/>
      <c r="T150" s="172"/>
      <c r="U150" s="172"/>
      <c r="V150" s="172"/>
      <c r="W150" s="172"/>
      <c r="X150" s="172"/>
      <c r="Y150" s="172"/>
      <c r="Z150" s="172"/>
      <c r="AA150" s="172"/>
      <c r="AB150" s="172"/>
      <c r="AC150" s="172"/>
      <c r="AD150" s="172"/>
      <c r="AE150" s="172"/>
      <c r="AF150" s="172"/>
      <c r="AG150" s="172">
        <f t="shared" ref="AG150:AJ150" si="47">1*AG9</f>
        <v>1</v>
      </c>
      <c r="AH150" s="172">
        <f t="shared" si="47"/>
        <v>1</v>
      </c>
      <c r="AI150" s="172">
        <f t="shared" si="47"/>
        <v>1</v>
      </c>
      <c r="AJ150" s="172">
        <f t="shared" si="47"/>
        <v>1</v>
      </c>
      <c r="AK150" s="72" t="s">
        <v>525</v>
      </c>
      <c r="AL150" s="73"/>
      <c r="AM150" s="63">
        <f>'Import-T7.2019'!F145</f>
        <v>0</v>
      </c>
      <c r="AN150" s="182">
        <f t="shared" si="29"/>
        <v>4</v>
      </c>
      <c r="AO150" s="182">
        <f>'NG T7.2019'!F145</f>
        <v>0</v>
      </c>
      <c r="AP150" s="181">
        <f t="shared" si="30"/>
        <v>-4</v>
      </c>
      <c r="AQ150" s="194" t="s">
        <v>563</v>
      </c>
    </row>
    <row r="151" spans="1:43" ht="15" customHeight="1" x14ac:dyDescent="0.25">
      <c r="A151" s="3">
        <v>57</v>
      </c>
      <c r="B151" s="188" t="s">
        <v>588</v>
      </c>
      <c r="C151" s="120" t="s">
        <v>272</v>
      </c>
      <c r="D151" s="121" t="s">
        <v>273</v>
      </c>
      <c r="E151" s="172"/>
      <c r="F151" s="172"/>
      <c r="G151" s="172"/>
      <c r="H151" s="172"/>
      <c r="I151" s="172"/>
      <c r="J151" s="172"/>
      <c r="K151" s="172"/>
      <c r="L151" s="172"/>
      <c r="M151" s="172"/>
      <c r="N151" s="172"/>
      <c r="O151" s="172"/>
      <c r="P151" s="172"/>
      <c r="Q151" s="172"/>
      <c r="R151" s="172"/>
      <c r="S151" s="172"/>
      <c r="T151" s="172"/>
      <c r="U151" s="172"/>
      <c r="V151" s="172"/>
      <c r="W151" s="172"/>
      <c r="X151" s="172"/>
      <c r="Y151" s="172"/>
      <c r="Z151" s="172"/>
      <c r="AA151" s="172"/>
      <c r="AB151" s="172"/>
      <c r="AC151" s="172">
        <f t="shared" ref="AC151:AF151" si="48">1*AC9</f>
        <v>1</v>
      </c>
      <c r="AD151" s="172">
        <f t="shared" si="48"/>
        <v>1</v>
      </c>
      <c r="AE151" s="172">
        <f t="shared" si="48"/>
        <v>1</v>
      </c>
      <c r="AF151" s="172">
        <f t="shared" si="48"/>
        <v>1</v>
      </c>
      <c r="AG151" s="172"/>
      <c r="AH151" s="172"/>
      <c r="AI151" s="172"/>
      <c r="AJ151" s="172"/>
      <c r="AK151" s="72" t="s">
        <v>525</v>
      </c>
      <c r="AL151" s="73"/>
      <c r="AM151" s="63">
        <f>'Import-T7.2019'!F146</f>
        <v>0</v>
      </c>
      <c r="AN151" s="182">
        <f t="shared" si="29"/>
        <v>4</v>
      </c>
      <c r="AO151" s="182">
        <f>'NG T7.2019'!F146</f>
        <v>0</v>
      </c>
      <c r="AP151" s="181">
        <f t="shared" si="30"/>
        <v>-4</v>
      </c>
      <c r="AQ151" s="194" t="s">
        <v>563</v>
      </c>
    </row>
    <row r="152" spans="1:43" ht="15" customHeight="1" x14ac:dyDescent="0.25">
      <c r="A152" s="3">
        <v>58</v>
      </c>
      <c r="B152" s="188" t="s">
        <v>274</v>
      </c>
      <c r="C152" s="122" t="s">
        <v>275</v>
      </c>
      <c r="D152" s="86" t="s">
        <v>276</v>
      </c>
      <c r="E152" s="170"/>
      <c r="F152" s="170">
        <f>2*F9</f>
        <v>2</v>
      </c>
      <c r="G152" s="170">
        <f>2*G9</f>
        <v>2</v>
      </c>
      <c r="H152" s="170">
        <f>2*H9</f>
        <v>2</v>
      </c>
      <c r="I152" s="170"/>
      <c r="J152" s="170">
        <f>2*J9</f>
        <v>2</v>
      </c>
      <c r="K152" s="170">
        <f>2*K9</f>
        <v>2</v>
      </c>
      <c r="L152" s="170"/>
      <c r="M152" s="170">
        <f>2*M9</f>
        <v>2</v>
      </c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72" t="s">
        <v>525</v>
      </c>
      <c r="AL152" s="73">
        <v>190000</v>
      </c>
      <c r="AM152" s="63">
        <f>'Import-T7.2019'!F147</f>
        <v>0</v>
      </c>
      <c r="AN152" s="182">
        <f t="shared" si="29"/>
        <v>12</v>
      </c>
      <c r="AO152" s="182">
        <f>'NG T7.2019'!F147</f>
        <v>0</v>
      </c>
      <c r="AP152" s="181">
        <f t="shared" si="30"/>
        <v>189988</v>
      </c>
      <c r="AQ152" s="194" t="s">
        <v>570</v>
      </c>
    </row>
    <row r="153" spans="1:43" ht="15" customHeight="1" x14ac:dyDescent="0.25">
      <c r="A153" s="3">
        <v>59</v>
      </c>
      <c r="B153" s="188" t="s">
        <v>274</v>
      </c>
      <c r="C153" s="122" t="s">
        <v>277</v>
      </c>
      <c r="D153" s="86" t="s">
        <v>278</v>
      </c>
      <c r="E153" s="170">
        <f>2*E9</f>
        <v>2</v>
      </c>
      <c r="F153" s="170"/>
      <c r="G153" s="170"/>
      <c r="H153" s="170"/>
      <c r="I153" s="170">
        <f>2*I9</f>
        <v>2</v>
      </c>
      <c r="J153" s="170"/>
      <c r="K153" s="170"/>
      <c r="L153" s="170">
        <f>2*L9</f>
        <v>2</v>
      </c>
      <c r="M153" s="170"/>
      <c r="N153" s="170"/>
      <c r="O153" s="170"/>
      <c r="P153" s="170"/>
      <c r="Q153" s="170"/>
      <c r="R153" s="170"/>
      <c r="S153" s="170"/>
      <c r="T153" s="170"/>
      <c r="U153" s="170"/>
      <c r="V153" s="170"/>
      <c r="W153" s="170"/>
      <c r="X153" s="170"/>
      <c r="Y153" s="170"/>
      <c r="Z153" s="170"/>
      <c r="AA153" s="170"/>
      <c r="AB153" s="170"/>
      <c r="AC153" s="170"/>
      <c r="AD153" s="170"/>
      <c r="AE153" s="170"/>
      <c r="AF153" s="170"/>
      <c r="AG153" s="170"/>
      <c r="AH153" s="170"/>
      <c r="AI153" s="170"/>
      <c r="AJ153" s="170"/>
      <c r="AK153" s="72" t="s">
        <v>525</v>
      </c>
      <c r="AL153" s="73">
        <v>290000</v>
      </c>
      <c r="AM153" s="63">
        <f>'Import-T7.2019'!F148</f>
        <v>0</v>
      </c>
      <c r="AN153" s="182">
        <f t="shared" si="29"/>
        <v>6</v>
      </c>
      <c r="AO153" s="182">
        <f>'NG T7.2019'!F148</f>
        <v>0</v>
      </c>
      <c r="AP153" s="181">
        <f t="shared" si="30"/>
        <v>289994</v>
      </c>
      <c r="AQ153" s="194" t="s">
        <v>570</v>
      </c>
    </row>
    <row r="154" spans="1:43" ht="15" customHeight="1" x14ac:dyDescent="0.25">
      <c r="A154" s="3">
        <v>60</v>
      </c>
      <c r="B154" s="188" t="s">
        <v>274</v>
      </c>
      <c r="C154" s="122" t="s">
        <v>279</v>
      </c>
      <c r="D154" s="86" t="s">
        <v>280</v>
      </c>
      <c r="E154" s="170">
        <f>1*E9</f>
        <v>1</v>
      </c>
      <c r="F154" s="170"/>
      <c r="G154" s="170"/>
      <c r="H154" s="170"/>
      <c r="I154" s="170">
        <f>1*I9</f>
        <v>1</v>
      </c>
      <c r="J154" s="170"/>
      <c r="K154" s="170"/>
      <c r="L154" s="170">
        <f>1*L9</f>
        <v>1</v>
      </c>
      <c r="M154" s="170"/>
      <c r="N154" s="170"/>
      <c r="O154" s="170"/>
      <c r="P154" s="170"/>
      <c r="Q154" s="170"/>
      <c r="R154" s="170"/>
      <c r="S154" s="170"/>
      <c r="T154" s="170"/>
      <c r="U154" s="170"/>
      <c r="V154" s="170"/>
      <c r="W154" s="170"/>
      <c r="X154" s="170"/>
      <c r="Y154" s="170"/>
      <c r="Z154" s="170"/>
      <c r="AA154" s="170"/>
      <c r="AB154" s="170"/>
      <c r="AC154" s="170"/>
      <c r="AD154" s="170"/>
      <c r="AE154" s="170"/>
      <c r="AF154" s="170"/>
      <c r="AG154" s="170"/>
      <c r="AH154" s="170"/>
      <c r="AI154" s="170"/>
      <c r="AJ154" s="170"/>
      <c r="AK154" s="72" t="s">
        <v>525</v>
      </c>
      <c r="AL154" s="73">
        <v>114000</v>
      </c>
      <c r="AM154" s="63">
        <f>'Import-T7.2019'!F149</f>
        <v>0</v>
      </c>
      <c r="AN154" s="182">
        <f t="shared" si="29"/>
        <v>3</v>
      </c>
      <c r="AO154" s="182">
        <f>'NG T7.2019'!F149</f>
        <v>0</v>
      </c>
      <c r="AP154" s="181">
        <f t="shared" si="30"/>
        <v>113997</v>
      </c>
      <c r="AQ154" s="194" t="s">
        <v>570</v>
      </c>
    </row>
    <row r="155" spans="1:43" ht="15" customHeight="1" x14ac:dyDescent="0.25">
      <c r="A155" s="3">
        <v>61</v>
      </c>
      <c r="B155" s="188" t="s">
        <v>274</v>
      </c>
      <c r="C155" s="122" t="s">
        <v>281</v>
      </c>
      <c r="D155" s="86" t="s">
        <v>282</v>
      </c>
      <c r="E155" s="170"/>
      <c r="F155" s="170">
        <f>1*F9</f>
        <v>1</v>
      </c>
      <c r="G155" s="170">
        <f>1*G9</f>
        <v>1</v>
      </c>
      <c r="H155" s="170">
        <f>1*H9</f>
        <v>1</v>
      </c>
      <c r="I155" s="170"/>
      <c r="J155" s="170">
        <f>1*J9</f>
        <v>1</v>
      </c>
      <c r="K155" s="170">
        <f>1*K9</f>
        <v>1</v>
      </c>
      <c r="L155" s="170"/>
      <c r="M155" s="170">
        <f>1*M9</f>
        <v>1</v>
      </c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170"/>
      <c r="AK155" s="72" t="s">
        <v>525</v>
      </c>
      <c r="AL155" s="73">
        <v>51000</v>
      </c>
      <c r="AM155" s="63">
        <f>'Import-T7.2019'!F150</f>
        <v>0</v>
      </c>
      <c r="AN155" s="182">
        <f t="shared" si="29"/>
        <v>6</v>
      </c>
      <c r="AO155" s="182">
        <f>'NG T7.2019'!F150</f>
        <v>0</v>
      </c>
      <c r="AP155" s="181">
        <f t="shared" si="30"/>
        <v>50994</v>
      </c>
      <c r="AQ155" s="194" t="s">
        <v>570</v>
      </c>
    </row>
    <row r="156" spans="1:43" ht="15" customHeight="1" x14ac:dyDescent="0.25">
      <c r="A156" s="3">
        <v>62</v>
      </c>
      <c r="B156" s="188" t="s">
        <v>283</v>
      </c>
      <c r="C156" s="120" t="s">
        <v>284</v>
      </c>
      <c r="D156" s="121" t="s">
        <v>285</v>
      </c>
      <c r="E156" s="172"/>
      <c r="F156" s="172"/>
      <c r="G156" s="172"/>
      <c r="H156" s="172"/>
      <c r="I156" s="172"/>
      <c r="J156" s="172"/>
      <c r="K156" s="172"/>
      <c r="L156" s="172"/>
      <c r="M156" s="172"/>
      <c r="N156" s="172"/>
      <c r="O156" s="172">
        <f>1*O9</f>
        <v>1</v>
      </c>
      <c r="P156" s="172">
        <f>1*P9</f>
        <v>1</v>
      </c>
      <c r="Q156" s="172">
        <f>1*Q9</f>
        <v>1</v>
      </c>
      <c r="R156" s="172">
        <f>1*R9</f>
        <v>1</v>
      </c>
      <c r="S156" s="172"/>
      <c r="T156" s="172"/>
      <c r="U156" s="172"/>
      <c r="V156" s="172"/>
      <c r="W156" s="172"/>
      <c r="X156" s="172"/>
      <c r="Y156" s="172"/>
      <c r="Z156" s="172"/>
      <c r="AA156" s="172"/>
      <c r="AB156" s="172"/>
      <c r="AC156" s="172"/>
      <c r="AD156" s="172"/>
      <c r="AE156" s="172"/>
      <c r="AF156" s="172"/>
      <c r="AG156" s="172"/>
      <c r="AH156" s="172"/>
      <c r="AI156" s="172"/>
      <c r="AJ156" s="172"/>
      <c r="AK156" s="72" t="s">
        <v>525</v>
      </c>
      <c r="AL156" s="73">
        <v>160000</v>
      </c>
      <c r="AM156" s="63">
        <f>'Import-T7.2019'!F151</f>
        <v>0</v>
      </c>
      <c r="AN156" s="182">
        <f t="shared" si="29"/>
        <v>4</v>
      </c>
      <c r="AO156" s="182">
        <f>'NG T7.2019'!F151</f>
        <v>0</v>
      </c>
      <c r="AP156" s="181">
        <f t="shared" si="30"/>
        <v>159996</v>
      </c>
      <c r="AQ156" s="194" t="s">
        <v>570</v>
      </c>
    </row>
    <row r="157" spans="1:43" ht="15" customHeight="1" x14ac:dyDescent="0.25">
      <c r="A157" s="3">
        <v>63</v>
      </c>
      <c r="B157" s="188" t="s">
        <v>283</v>
      </c>
      <c r="C157" s="120" t="s">
        <v>286</v>
      </c>
      <c r="D157" s="121" t="s">
        <v>287</v>
      </c>
      <c r="E157" s="172"/>
      <c r="F157" s="172"/>
      <c r="G157" s="172"/>
      <c r="H157" s="172"/>
      <c r="I157" s="172"/>
      <c r="J157" s="172"/>
      <c r="K157" s="172"/>
      <c r="L157" s="172"/>
      <c r="M157" s="172"/>
      <c r="N157" s="172"/>
      <c r="O157" s="172">
        <f>2*O9</f>
        <v>2</v>
      </c>
      <c r="P157" s="172">
        <f>2*P9</f>
        <v>2</v>
      </c>
      <c r="Q157" s="172">
        <f>2*Q9</f>
        <v>2</v>
      </c>
      <c r="R157" s="172">
        <f>2*R9</f>
        <v>2</v>
      </c>
      <c r="S157" s="172"/>
      <c r="T157" s="172"/>
      <c r="U157" s="172"/>
      <c r="V157" s="172"/>
      <c r="W157" s="172"/>
      <c r="X157" s="172"/>
      <c r="Y157" s="172"/>
      <c r="Z157" s="172"/>
      <c r="AA157" s="172"/>
      <c r="AB157" s="172"/>
      <c r="AC157" s="172"/>
      <c r="AD157" s="172"/>
      <c r="AE157" s="172"/>
      <c r="AF157" s="172"/>
      <c r="AG157" s="172"/>
      <c r="AH157" s="172"/>
      <c r="AI157" s="172"/>
      <c r="AJ157" s="172"/>
      <c r="AK157" s="72" t="s">
        <v>525</v>
      </c>
      <c r="AL157" s="73">
        <v>316000</v>
      </c>
      <c r="AM157" s="63">
        <f>'Import-T7.2019'!F152</f>
        <v>0</v>
      </c>
      <c r="AN157" s="182">
        <f t="shared" si="29"/>
        <v>8</v>
      </c>
      <c r="AO157" s="182">
        <f>'NG T7.2019'!F152</f>
        <v>0</v>
      </c>
      <c r="AP157" s="181">
        <f t="shared" si="30"/>
        <v>315992</v>
      </c>
      <c r="AQ157" s="194" t="s">
        <v>570</v>
      </c>
    </row>
    <row r="158" spans="1:43" ht="15" customHeight="1" x14ac:dyDescent="0.25">
      <c r="A158" s="3">
        <v>64</v>
      </c>
      <c r="B158" s="188" t="s">
        <v>283</v>
      </c>
      <c r="C158" s="120" t="s">
        <v>288</v>
      </c>
      <c r="D158" s="121" t="s">
        <v>289</v>
      </c>
      <c r="E158" s="172"/>
      <c r="F158" s="172"/>
      <c r="G158" s="172"/>
      <c r="H158" s="172"/>
      <c r="I158" s="172"/>
      <c r="J158" s="172"/>
      <c r="K158" s="172"/>
      <c r="L158" s="172"/>
      <c r="M158" s="172"/>
      <c r="N158" s="172"/>
      <c r="O158" s="172">
        <f>1*O9</f>
        <v>1</v>
      </c>
      <c r="P158" s="172">
        <f>1*P9</f>
        <v>1</v>
      </c>
      <c r="Q158" s="172">
        <f>1*Q9</f>
        <v>1</v>
      </c>
      <c r="R158" s="172">
        <f>1*R9</f>
        <v>1</v>
      </c>
      <c r="S158" s="172"/>
      <c r="T158" s="172"/>
      <c r="U158" s="172"/>
      <c r="V158" s="172"/>
      <c r="W158" s="172"/>
      <c r="X158" s="172"/>
      <c r="Y158" s="172"/>
      <c r="Z158" s="172"/>
      <c r="AA158" s="172"/>
      <c r="AB158" s="172"/>
      <c r="AC158" s="172"/>
      <c r="AD158" s="172"/>
      <c r="AE158" s="172"/>
      <c r="AF158" s="172"/>
      <c r="AG158" s="172"/>
      <c r="AH158" s="172"/>
      <c r="AI158" s="172"/>
      <c r="AJ158" s="172"/>
      <c r="AK158" s="72" t="s">
        <v>525</v>
      </c>
      <c r="AL158" s="73">
        <v>160000</v>
      </c>
      <c r="AM158" s="63">
        <f>'Import-T7.2019'!F153</f>
        <v>0</v>
      </c>
      <c r="AN158" s="182">
        <f t="shared" si="29"/>
        <v>4</v>
      </c>
      <c r="AO158" s="182">
        <f>'NG T7.2019'!F153</f>
        <v>0</v>
      </c>
      <c r="AP158" s="181">
        <f t="shared" si="30"/>
        <v>159996</v>
      </c>
      <c r="AQ158" s="194" t="s">
        <v>570</v>
      </c>
    </row>
    <row r="159" spans="1:43" ht="15" customHeight="1" x14ac:dyDescent="0.25">
      <c r="A159" s="3">
        <v>65</v>
      </c>
      <c r="B159" s="188" t="s">
        <v>283</v>
      </c>
      <c r="C159" s="120" t="s">
        <v>290</v>
      </c>
      <c r="D159" s="121" t="s">
        <v>291</v>
      </c>
      <c r="E159" s="172"/>
      <c r="F159" s="172"/>
      <c r="G159" s="172"/>
      <c r="H159" s="172"/>
      <c r="I159" s="172"/>
      <c r="J159" s="172"/>
      <c r="K159" s="172"/>
      <c r="L159" s="172"/>
      <c r="M159" s="172"/>
      <c r="N159" s="172"/>
      <c r="O159" s="172">
        <f>1*O9</f>
        <v>1</v>
      </c>
      <c r="P159" s="172">
        <f>1*P9</f>
        <v>1</v>
      </c>
      <c r="Q159" s="172">
        <f>1*Q9</f>
        <v>1</v>
      </c>
      <c r="R159" s="172">
        <f>1*R9</f>
        <v>1</v>
      </c>
      <c r="S159" s="172"/>
      <c r="T159" s="172"/>
      <c r="U159" s="172"/>
      <c r="V159" s="172"/>
      <c r="W159" s="172"/>
      <c r="X159" s="172"/>
      <c r="Y159" s="172"/>
      <c r="Z159" s="172"/>
      <c r="AA159" s="172"/>
      <c r="AB159" s="172"/>
      <c r="AC159" s="172"/>
      <c r="AD159" s="172"/>
      <c r="AE159" s="172"/>
      <c r="AF159" s="172"/>
      <c r="AG159" s="172"/>
      <c r="AH159" s="172"/>
      <c r="AI159" s="172"/>
      <c r="AJ159" s="172"/>
      <c r="AK159" s="72" t="s">
        <v>525</v>
      </c>
      <c r="AL159" s="73">
        <v>50000</v>
      </c>
      <c r="AM159" s="63">
        <f>'Import-T7.2019'!F154</f>
        <v>0</v>
      </c>
      <c r="AN159" s="182">
        <f t="shared" si="29"/>
        <v>4</v>
      </c>
      <c r="AO159" s="182">
        <f>'NG T7.2019'!F154</f>
        <v>0</v>
      </c>
      <c r="AP159" s="181">
        <f t="shared" si="30"/>
        <v>49996</v>
      </c>
      <c r="AQ159" s="194" t="s">
        <v>570</v>
      </c>
    </row>
    <row r="160" spans="1:43" ht="15" customHeight="1" x14ac:dyDescent="0.25">
      <c r="A160" s="3">
        <v>66</v>
      </c>
      <c r="B160" s="188" t="s">
        <v>283</v>
      </c>
      <c r="C160" s="120" t="s">
        <v>292</v>
      </c>
      <c r="D160" s="121" t="s">
        <v>293</v>
      </c>
      <c r="E160" s="172"/>
      <c r="F160" s="172"/>
      <c r="G160" s="172"/>
      <c r="H160" s="172"/>
      <c r="I160" s="172"/>
      <c r="J160" s="172"/>
      <c r="K160" s="172"/>
      <c r="L160" s="172"/>
      <c r="M160" s="172"/>
      <c r="N160" s="172">
        <f>1*N9</f>
        <v>1</v>
      </c>
      <c r="O160" s="172"/>
      <c r="P160" s="172"/>
      <c r="Q160" s="172"/>
      <c r="R160" s="172"/>
      <c r="S160" s="172"/>
      <c r="T160" s="172"/>
      <c r="U160" s="172"/>
      <c r="V160" s="172"/>
      <c r="W160" s="172"/>
      <c r="X160" s="172"/>
      <c r="Y160" s="172"/>
      <c r="Z160" s="172"/>
      <c r="AA160" s="172"/>
      <c r="AB160" s="172"/>
      <c r="AC160" s="172"/>
      <c r="AD160" s="172"/>
      <c r="AE160" s="172"/>
      <c r="AF160" s="172"/>
      <c r="AG160" s="172"/>
      <c r="AH160" s="172"/>
      <c r="AI160" s="172"/>
      <c r="AJ160" s="172"/>
      <c r="AK160" s="72" t="s">
        <v>525</v>
      </c>
      <c r="AL160" s="73">
        <v>56000</v>
      </c>
      <c r="AM160" s="63">
        <f>'Import-T7.2019'!F155</f>
        <v>0</v>
      </c>
      <c r="AN160" s="182">
        <f t="shared" ref="AN160:AN223" si="49">SUM(E160:AJ160)</f>
        <v>1</v>
      </c>
      <c r="AO160" s="182">
        <f>'NG T7.2019'!F155</f>
        <v>0</v>
      </c>
      <c r="AP160" s="181">
        <f t="shared" ref="AP160:AP223" si="50">AL160+AM160-AN160-AO160</f>
        <v>55999</v>
      </c>
      <c r="AQ160" s="194" t="s">
        <v>570</v>
      </c>
    </row>
    <row r="161" spans="1:43" ht="15" customHeight="1" x14ac:dyDescent="0.25">
      <c r="A161" s="3">
        <v>67</v>
      </c>
      <c r="B161" s="188" t="s">
        <v>283</v>
      </c>
      <c r="C161" s="120" t="s">
        <v>294</v>
      </c>
      <c r="D161" s="121" t="s">
        <v>295</v>
      </c>
      <c r="E161" s="172"/>
      <c r="F161" s="172"/>
      <c r="G161" s="172"/>
      <c r="H161" s="172"/>
      <c r="I161" s="172"/>
      <c r="J161" s="172"/>
      <c r="K161" s="172"/>
      <c r="L161" s="172"/>
      <c r="M161" s="172"/>
      <c r="N161" s="172">
        <f>2*N9</f>
        <v>2</v>
      </c>
      <c r="O161" s="172"/>
      <c r="P161" s="172"/>
      <c r="Q161" s="172"/>
      <c r="R161" s="172"/>
      <c r="S161" s="172"/>
      <c r="T161" s="172"/>
      <c r="U161" s="172"/>
      <c r="V161" s="172"/>
      <c r="W161" s="172"/>
      <c r="X161" s="172"/>
      <c r="Y161" s="172"/>
      <c r="Z161" s="172"/>
      <c r="AA161" s="172"/>
      <c r="AB161" s="172"/>
      <c r="AC161" s="172"/>
      <c r="AD161" s="172"/>
      <c r="AE161" s="172"/>
      <c r="AF161" s="172"/>
      <c r="AG161" s="172"/>
      <c r="AH161" s="172"/>
      <c r="AI161" s="172"/>
      <c r="AJ161" s="172"/>
      <c r="AK161" s="72" t="s">
        <v>525</v>
      </c>
      <c r="AL161" s="73">
        <v>110000</v>
      </c>
      <c r="AM161" s="63">
        <f>'Import-T7.2019'!F156</f>
        <v>0</v>
      </c>
      <c r="AN161" s="182">
        <f t="shared" si="49"/>
        <v>2</v>
      </c>
      <c r="AO161" s="182">
        <f>'NG T7.2019'!F156</f>
        <v>0</v>
      </c>
      <c r="AP161" s="181">
        <f t="shared" si="50"/>
        <v>109998</v>
      </c>
      <c r="AQ161" s="194" t="s">
        <v>570</v>
      </c>
    </row>
    <row r="162" spans="1:43" ht="15" customHeight="1" x14ac:dyDescent="0.25">
      <c r="A162" s="3">
        <v>68</v>
      </c>
      <c r="B162" s="188" t="s">
        <v>283</v>
      </c>
      <c r="C162" s="120" t="s">
        <v>296</v>
      </c>
      <c r="D162" s="121" t="s">
        <v>297</v>
      </c>
      <c r="E162" s="172"/>
      <c r="F162" s="172"/>
      <c r="G162" s="172"/>
      <c r="H162" s="172"/>
      <c r="I162" s="172"/>
      <c r="J162" s="172"/>
      <c r="K162" s="172"/>
      <c r="L162" s="172"/>
      <c r="M162" s="172"/>
      <c r="N162" s="172">
        <f>1*N9</f>
        <v>1</v>
      </c>
      <c r="O162" s="172"/>
      <c r="P162" s="172"/>
      <c r="Q162" s="172"/>
      <c r="R162" s="172"/>
      <c r="S162" s="172"/>
      <c r="T162" s="172"/>
      <c r="U162" s="172"/>
      <c r="V162" s="172"/>
      <c r="W162" s="172"/>
      <c r="X162" s="172"/>
      <c r="Y162" s="172"/>
      <c r="Z162" s="172"/>
      <c r="AA162" s="172"/>
      <c r="AB162" s="172"/>
      <c r="AC162" s="172"/>
      <c r="AD162" s="172"/>
      <c r="AE162" s="172"/>
      <c r="AF162" s="172"/>
      <c r="AG162" s="172"/>
      <c r="AH162" s="172"/>
      <c r="AI162" s="172"/>
      <c r="AJ162" s="172"/>
      <c r="AK162" s="72" t="s">
        <v>525</v>
      </c>
      <c r="AL162" s="73">
        <v>56000</v>
      </c>
      <c r="AM162" s="63">
        <f>'Import-T7.2019'!F157</f>
        <v>0</v>
      </c>
      <c r="AN162" s="182">
        <f t="shared" si="49"/>
        <v>1</v>
      </c>
      <c r="AO162" s="182">
        <f>'NG T7.2019'!F157</f>
        <v>0</v>
      </c>
      <c r="AP162" s="181">
        <f t="shared" si="50"/>
        <v>55999</v>
      </c>
      <c r="AQ162" s="194" t="s">
        <v>570</v>
      </c>
    </row>
    <row r="163" spans="1:43" ht="15" customHeight="1" x14ac:dyDescent="0.25">
      <c r="A163" s="3">
        <v>69</v>
      </c>
      <c r="B163" s="188" t="s">
        <v>283</v>
      </c>
      <c r="C163" s="120" t="s">
        <v>298</v>
      </c>
      <c r="D163" s="121" t="s">
        <v>299</v>
      </c>
      <c r="E163" s="172"/>
      <c r="F163" s="172"/>
      <c r="G163" s="172"/>
      <c r="H163" s="172"/>
      <c r="I163" s="172"/>
      <c r="J163" s="172"/>
      <c r="K163" s="172"/>
      <c r="L163" s="172"/>
      <c r="M163" s="172"/>
      <c r="N163" s="172">
        <f>1*N9</f>
        <v>1</v>
      </c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72"/>
      <c r="AE163" s="172"/>
      <c r="AF163" s="172"/>
      <c r="AG163" s="172"/>
      <c r="AH163" s="172"/>
      <c r="AI163" s="172"/>
      <c r="AJ163" s="172"/>
      <c r="AK163" s="72" t="s">
        <v>525</v>
      </c>
      <c r="AL163" s="73">
        <v>20500</v>
      </c>
      <c r="AM163" s="63">
        <f>'Import-T7.2019'!F158</f>
        <v>0</v>
      </c>
      <c r="AN163" s="182">
        <f t="shared" si="49"/>
        <v>1</v>
      </c>
      <c r="AO163" s="182">
        <f>'NG T7.2019'!F158</f>
        <v>0</v>
      </c>
      <c r="AP163" s="181">
        <f t="shared" si="50"/>
        <v>20499</v>
      </c>
      <c r="AQ163" s="194" t="s">
        <v>570</v>
      </c>
    </row>
    <row r="164" spans="1:43" ht="15" customHeight="1" x14ac:dyDescent="0.25">
      <c r="A164" s="3">
        <v>70</v>
      </c>
      <c r="B164" s="188" t="s">
        <v>300</v>
      </c>
      <c r="C164" s="122" t="s">
        <v>301</v>
      </c>
      <c r="D164" s="86" t="s">
        <v>302</v>
      </c>
      <c r="E164" s="170"/>
      <c r="F164" s="170"/>
      <c r="G164" s="170"/>
      <c r="H164" s="170"/>
      <c r="I164" s="170"/>
      <c r="J164" s="170"/>
      <c r="K164" s="170"/>
      <c r="L164" s="170"/>
      <c r="M164" s="170"/>
      <c r="N164" s="170"/>
      <c r="O164" s="170"/>
      <c r="P164" s="170"/>
      <c r="Q164" s="170"/>
      <c r="R164" s="170"/>
      <c r="S164" s="170">
        <f>1*S9</f>
        <v>1</v>
      </c>
      <c r="T164" s="170"/>
      <c r="U164" s="170"/>
      <c r="V164" s="170"/>
      <c r="W164" s="170"/>
      <c r="X164" s="170">
        <f>1*X9</f>
        <v>1</v>
      </c>
      <c r="Y164" s="170"/>
      <c r="Z164" s="170"/>
      <c r="AA164" s="170"/>
      <c r="AB164" s="170"/>
      <c r="AC164" s="170">
        <f>1*AC9</f>
        <v>1</v>
      </c>
      <c r="AD164" s="170"/>
      <c r="AE164" s="170"/>
      <c r="AF164" s="170"/>
      <c r="AG164" s="170">
        <f>1*AG9</f>
        <v>1</v>
      </c>
      <c r="AH164" s="170"/>
      <c r="AI164" s="170"/>
      <c r="AJ164" s="170"/>
      <c r="AK164" s="72" t="s">
        <v>525</v>
      </c>
      <c r="AL164" s="73"/>
      <c r="AM164" s="63">
        <f>'Import-T7.2019'!F159</f>
        <v>0</v>
      </c>
      <c r="AN164" s="182">
        <f t="shared" si="49"/>
        <v>4</v>
      </c>
      <c r="AO164" s="182">
        <f>'NG T7.2019'!F159</f>
        <v>0</v>
      </c>
      <c r="AP164" s="181">
        <f t="shared" si="50"/>
        <v>-4</v>
      </c>
      <c r="AQ164" s="194" t="s">
        <v>561</v>
      </c>
    </row>
    <row r="165" spans="1:43" ht="15" customHeight="1" x14ac:dyDescent="0.25">
      <c r="A165" s="3">
        <v>71</v>
      </c>
      <c r="B165" s="188" t="s">
        <v>300</v>
      </c>
      <c r="C165" s="122" t="s">
        <v>303</v>
      </c>
      <c r="D165" s="86" t="s">
        <v>304</v>
      </c>
      <c r="E165" s="170"/>
      <c r="F165" s="170"/>
      <c r="G165" s="170"/>
      <c r="H165" s="170"/>
      <c r="I165" s="170"/>
      <c r="J165" s="170"/>
      <c r="K165" s="170"/>
      <c r="L165" s="170"/>
      <c r="M165" s="170"/>
      <c r="N165" s="170"/>
      <c r="O165" s="170"/>
      <c r="P165" s="170"/>
      <c r="Q165" s="170"/>
      <c r="R165" s="170"/>
      <c r="S165" s="170"/>
      <c r="T165" s="170">
        <f>1*T9</f>
        <v>1</v>
      </c>
      <c r="U165" s="170">
        <f>1*U9</f>
        <v>1</v>
      </c>
      <c r="V165" s="170">
        <f t="shared" ref="V165:AJ165" si="51">1*V9</f>
        <v>1</v>
      </c>
      <c r="W165" s="170">
        <f t="shared" si="51"/>
        <v>1</v>
      </c>
      <c r="X165" s="170"/>
      <c r="Y165" s="170">
        <f t="shared" si="51"/>
        <v>1</v>
      </c>
      <c r="Z165" s="170">
        <f t="shared" si="51"/>
        <v>1</v>
      </c>
      <c r="AA165" s="170">
        <f t="shared" si="51"/>
        <v>1</v>
      </c>
      <c r="AB165" s="170">
        <f t="shared" si="51"/>
        <v>1</v>
      </c>
      <c r="AC165" s="171"/>
      <c r="AD165" s="170">
        <f t="shared" si="51"/>
        <v>1</v>
      </c>
      <c r="AE165" s="170">
        <f t="shared" si="51"/>
        <v>1</v>
      </c>
      <c r="AF165" s="170">
        <f t="shared" si="51"/>
        <v>1</v>
      </c>
      <c r="AG165" s="171"/>
      <c r="AH165" s="170">
        <f t="shared" si="51"/>
        <v>1</v>
      </c>
      <c r="AI165" s="170">
        <f t="shared" si="51"/>
        <v>1</v>
      </c>
      <c r="AJ165" s="170">
        <f t="shared" si="51"/>
        <v>1</v>
      </c>
      <c r="AK165" s="72" t="s">
        <v>525</v>
      </c>
      <c r="AL165" s="73"/>
      <c r="AM165" s="63">
        <f>'Import-T7.2019'!F160</f>
        <v>0</v>
      </c>
      <c r="AN165" s="182">
        <f t="shared" si="49"/>
        <v>14</v>
      </c>
      <c r="AO165" s="182">
        <f>'NG T7.2019'!F160</f>
        <v>0</v>
      </c>
      <c r="AP165" s="181">
        <f t="shared" si="50"/>
        <v>-14</v>
      </c>
      <c r="AQ165" s="194" t="s">
        <v>561</v>
      </c>
    </row>
    <row r="166" spans="1:43" ht="15" customHeight="1" x14ac:dyDescent="0.25">
      <c r="A166" s="3">
        <v>72</v>
      </c>
      <c r="B166" s="65" t="s">
        <v>305</v>
      </c>
      <c r="C166" s="122">
        <v>370425461</v>
      </c>
      <c r="D166" s="86" t="s">
        <v>306</v>
      </c>
      <c r="E166" s="170">
        <f t="shared" ref="E166:R166" si="52">5/24*E9</f>
        <v>0.20833333333333334</v>
      </c>
      <c r="F166" s="170">
        <f t="shared" si="52"/>
        <v>0.20833333333333334</v>
      </c>
      <c r="G166" s="170">
        <f t="shared" si="52"/>
        <v>0.20833333333333334</v>
      </c>
      <c r="H166" s="170">
        <f t="shared" si="52"/>
        <v>0.20833333333333334</v>
      </c>
      <c r="I166" s="170">
        <f t="shared" si="52"/>
        <v>0.20833333333333334</v>
      </c>
      <c r="J166" s="170">
        <f t="shared" si="52"/>
        <v>0.20833333333333334</v>
      </c>
      <c r="K166" s="170">
        <f t="shared" si="52"/>
        <v>0.20833333333333334</v>
      </c>
      <c r="L166" s="170">
        <f t="shared" si="52"/>
        <v>0.20833333333333334</v>
      </c>
      <c r="M166" s="170">
        <f t="shared" si="52"/>
        <v>0.20833333333333334</v>
      </c>
      <c r="N166" s="170">
        <f t="shared" si="52"/>
        <v>0.20833333333333334</v>
      </c>
      <c r="O166" s="170">
        <f t="shared" si="52"/>
        <v>0.20833333333333334</v>
      </c>
      <c r="P166" s="170">
        <f t="shared" si="52"/>
        <v>0.20833333333333334</v>
      </c>
      <c r="Q166" s="170">
        <f t="shared" si="52"/>
        <v>0.20833333333333334</v>
      </c>
      <c r="R166" s="170">
        <f t="shared" si="52"/>
        <v>0.20833333333333334</v>
      </c>
      <c r="S166" s="170">
        <f>11/50*S9</f>
        <v>0.22</v>
      </c>
      <c r="T166" s="170">
        <f>11/50*T9</f>
        <v>0.22</v>
      </c>
      <c r="U166" s="170">
        <f>11/50*U9</f>
        <v>0.22</v>
      </c>
      <c r="V166" s="170">
        <f t="shared" ref="V166:W166" si="53">11/50*V9</f>
        <v>0.22</v>
      </c>
      <c r="W166" s="170">
        <f t="shared" si="53"/>
        <v>0.22</v>
      </c>
      <c r="X166" s="170">
        <f>5/24*X9</f>
        <v>0.20833333333333334</v>
      </c>
      <c r="Y166" s="170">
        <f t="shared" ref="Y166:AJ166" si="54">5/24*Y9</f>
        <v>0.20833333333333334</v>
      </c>
      <c r="Z166" s="170">
        <f t="shared" si="54"/>
        <v>0.20833333333333334</v>
      </c>
      <c r="AA166" s="170">
        <f t="shared" si="54"/>
        <v>0.20833333333333334</v>
      </c>
      <c r="AB166" s="170">
        <f t="shared" si="54"/>
        <v>0.20833333333333334</v>
      </c>
      <c r="AC166" s="170">
        <f t="shared" si="54"/>
        <v>0.20833333333333334</v>
      </c>
      <c r="AD166" s="170">
        <f t="shared" si="54"/>
        <v>0.20833333333333334</v>
      </c>
      <c r="AE166" s="170">
        <f t="shared" si="54"/>
        <v>0.20833333333333334</v>
      </c>
      <c r="AF166" s="170">
        <f t="shared" si="54"/>
        <v>0.20833333333333334</v>
      </c>
      <c r="AG166" s="170">
        <f t="shared" si="54"/>
        <v>0.20833333333333334</v>
      </c>
      <c r="AH166" s="170">
        <f t="shared" si="54"/>
        <v>0.20833333333333334</v>
      </c>
      <c r="AI166" s="170">
        <f t="shared" si="54"/>
        <v>0.20833333333333334</v>
      </c>
      <c r="AJ166" s="170">
        <f t="shared" si="54"/>
        <v>0.20833333333333334</v>
      </c>
      <c r="AK166" s="72" t="s">
        <v>525</v>
      </c>
      <c r="AL166" s="73">
        <v>97000</v>
      </c>
      <c r="AM166" s="63">
        <f>'Import-T7.2019'!F161</f>
        <v>0</v>
      </c>
      <c r="AN166" s="182">
        <f t="shared" si="49"/>
        <v>6.724999999999997</v>
      </c>
      <c r="AO166" s="182">
        <f>'NG T7.2019'!F161</f>
        <v>0</v>
      </c>
      <c r="AP166" s="181">
        <f t="shared" si="50"/>
        <v>96993.274999999994</v>
      </c>
      <c r="AQ166" s="194" t="s">
        <v>563</v>
      </c>
    </row>
    <row r="167" spans="1:43" ht="15" customHeight="1" x14ac:dyDescent="0.25">
      <c r="A167" s="3">
        <v>73</v>
      </c>
      <c r="B167" s="66" t="s">
        <v>307</v>
      </c>
      <c r="C167" s="122" t="s">
        <v>308</v>
      </c>
      <c r="D167" s="123" t="s">
        <v>309</v>
      </c>
      <c r="E167" s="170"/>
      <c r="F167" s="170"/>
      <c r="G167" s="170"/>
      <c r="H167" s="170"/>
      <c r="I167" s="170"/>
      <c r="J167" s="170"/>
      <c r="K167" s="170"/>
      <c r="L167" s="170"/>
      <c r="M167" s="170"/>
      <c r="N167" s="170">
        <f t="shared" ref="N167:T167" si="55">1*N9</f>
        <v>1</v>
      </c>
      <c r="O167" s="170">
        <f t="shared" si="55"/>
        <v>1</v>
      </c>
      <c r="P167" s="170">
        <f t="shared" si="55"/>
        <v>1</v>
      </c>
      <c r="Q167" s="170">
        <f t="shared" si="55"/>
        <v>1</v>
      </c>
      <c r="R167" s="170">
        <f t="shared" si="55"/>
        <v>1</v>
      </c>
      <c r="S167" s="170">
        <f t="shared" si="55"/>
        <v>1</v>
      </c>
      <c r="T167" s="170">
        <f t="shared" si="55"/>
        <v>1</v>
      </c>
      <c r="U167" s="170">
        <f>1*U9</f>
        <v>1</v>
      </c>
      <c r="V167" s="170">
        <f t="shared" ref="V167:W167" si="56">1*V9</f>
        <v>1</v>
      </c>
      <c r="W167" s="170">
        <f t="shared" si="56"/>
        <v>1</v>
      </c>
      <c r="X167" s="170"/>
      <c r="Y167" s="170"/>
      <c r="Z167" s="170"/>
      <c r="AA167" s="170"/>
      <c r="AB167" s="170"/>
      <c r="AC167" s="170"/>
      <c r="AD167" s="170"/>
      <c r="AE167" s="170"/>
      <c r="AF167" s="170"/>
      <c r="AG167" s="170"/>
      <c r="AH167" s="170"/>
      <c r="AI167" s="170"/>
      <c r="AJ167" s="170"/>
      <c r="AK167" s="72" t="s">
        <v>525</v>
      </c>
      <c r="AL167" s="73">
        <v>210000</v>
      </c>
      <c r="AM167" s="63">
        <f>'Import-T7.2019'!F162</f>
        <v>0</v>
      </c>
      <c r="AN167" s="182">
        <f t="shared" si="49"/>
        <v>10</v>
      </c>
      <c r="AO167" s="182">
        <f>'NG T7.2019'!F162</f>
        <v>0</v>
      </c>
      <c r="AP167" s="181">
        <f t="shared" si="50"/>
        <v>209990</v>
      </c>
      <c r="AQ167" s="194" t="s">
        <v>563</v>
      </c>
    </row>
    <row r="168" spans="1:43" ht="15" customHeight="1" x14ac:dyDescent="0.25">
      <c r="A168" s="3"/>
      <c r="B168" s="67" t="s">
        <v>310</v>
      </c>
      <c r="C168" s="122" t="s">
        <v>311</v>
      </c>
      <c r="D168" s="123" t="s">
        <v>312</v>
      </c>
      <c r="E168" s="170"/>
      <c r="F168" s="170"/>
      <c r="G168" s="170"/>
      <c r="H168" s="170"/>
      <c r="I168" s="170"/>
      <c r="J168" s="170"/>
      <c r="K168" s="170"/>
      <c r="L168" s="170"/>
      <c r="M168" s="170"/>
      <c r="N168" s="170"/>
      <c r="O168" s="170"/>
      <c r="P168" s="170"/>
      <c r="Q168" s="170"/>
      <c r="R168" s="170"/>
      <c r="S168" s="170"/>
      <c r="T168" s="170"/>
      <c r="U168" s="170"/>
      <c r="V168" s="170"/>
      <c r="W168" s="170"/>
      <c r="X168" s="170"/>
      <c r="Y168" s="170"/>
      <c r="Z168" s="170"/>
      <c r="AA168" s="170"/>
      <c r="AB168" s="170"/>
      <c r="AC168" s="170"/>
      <c r="AD168" s="170"/>
      <c r="AE168" s="170"/>
      <c r="AF168" s="170"/>
      <c r="AG168" s="170">
        <v>1</v>
      </c>
      <c r="AH168" s="170">
        <v>1</v>
      </c>
      <c r="AI168" s="170">
        <v>1</v>
      </c>
      <c r="AJ168" s="170">
        <v>1</v>
      </c>
      <c r="AK168" s="72" t="s">
        <v>525</v>
      </c>
      <c r="AL168" s="73"/>
      <c r="AM168" s="63">
        <f>'Import-T7.2019'!F163</f>
        <v>0</v>
      </c>
      <c r="AN168" s="182">
        <f t="shared" si="49"/>
        <v>4</v>
      </c>
      <c r="AO168" s="182">
        <f>'NG T7.2019'!F163</f>
        <v>0</v>
      </c>
      <c r="AP168" s="181">
        <f t="shared" si="50"/>
        <v>-4</v>
      </c>
      <c r="AQ168" s="194" t="s">
        <v>563</v>
      </c>
    </row>
    <row r="169" spans="1:43" ht="15" customHeight="1" x14ac:dyDescent="0.25">
      <c r="A169" s="3">
        <v>74</v>
      </c>
      <c r="B169" s="186" t="s">
        <v>313</v>
      </c>
      <c r="C169" s="122" t="s">
        <v>314</v>
      </c>
      <c r="D169" s="123" t="s">
        <v>315</v>
      </c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>
        <f>1*S9</f>
        <v>1</v>
      </c>
      <c r="T169" s="170">
        <f>1*T9</f>
        <v>1</v>
      </c>
      <c r="U169" s="170">
        <f>1*U9</f>
        <v>1</v>
      </c>
      <c r="V169" s="170">
        <f t="shared" ref="V169:W169" si="57">1*V9</f>
        <v>1</v>
      </c>
      <c r="W169" s="170">
        <f t="shared" si="57"/>
        <v>1</v>
      </c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  <c r="AI169" s="170"/>
      <c r="AJ169" s="170"/>
      <c r="AK169" s="72" t="s">
        <v>525</v>
      </c>
      <c r="AL169" s="73"/>
      <c r="AM169" s="63">
        <f>'Import-T7.2019'!F164</f>
        <v>0</v>
      </c>
      <c r="AN169" s="182">
        <f t="shared" si="49"/>
        <v>5</v>
      </c>
      <c r="AO169" s="182">
        <f>'NG T7.2019'!F164</f>
        <v>0</v>
      </c>
      <c r="AP169" s="181">
        <f t="shared" si="50"/>
        <v>-5</v>
      </c>
      <c r="AQ169" s="194" t="s">
        <v>561</v>
      </c>
    </row>
    <row r="170" spans="1:43" ht="15" customHeight="1" x14ac:dyDescent="0.25">
      <c r="A170" s="3">
        <v>75</v>
      </c>
      <c r="B170" s="186" t="s">
        <v>313</v>
      </c>
      <c r="C170" s="122" t="s">
        <v>316</v>
      </c>
      <c r="D170" s="123" t="s">
        <v>317</v>
      </c>
      <c r="E170" s="170"/>
      <c r="F170" s="170"/>
      <c r="G170" s="170"/>
      <c r="H170" s="170"/>
      <c r="I170" s="170"/>
      <c r="J170" s="170"/>
      <c r="K170" s="170"/>
      <c r="L170" s="170"/>
      <c r="M170" s="170"/>
      <c r="N170" s="170"/>
      <c r="O170" s="170"/>
      <c r="P170" s="170"/>
      <c r="Q170" s="170"/>
      <c r="R170" s="170"/>
      <c r="S170" s="170">
        <f>1*S9</f>
        <v>1</v>
      </c>
      <c r="T170" s="170">
        <f>1*T9</f>
        <v>1</v>
      </c>
      <c r="U170" s="170">
        <f>1*U9</f>
        <v>1</v>
      </c>
      <c r="V170" s="170">
        <f t="shared" ref="V170:W170" si="58">1*V9</f>
        <v>1</v>
      </c>
      <c r="W170" s="170">
        <f t="shared" si="58"/>
        <v>1</v>
      </c>
      <c r="X170" s="170"/>
      <c r="Y170" s="170"/>
      <c r="Z170" s="170"/>
      <c r="AA170" s="170"/>
      <c r="AB170" s="170"/>
      <c r="AC170" s="170"/>
      <c r="AD170" s="170"/>
      <c r="AE170" s="170"/>
      <c r="AF170" s="170"/>
      <c r="AG170" s="170"/>
      <c r="AH170" s="170"/>
      <c r="AI170" s="170"/>
      <c r="AJ170" s="170"/>
      <c r="AK170" s="72" t="s">
        <v>525</v>
      </c>
      <c r="AL170" s="73"/>
      <c r="AM170" s="63">
        <f>'Import-T7.2019'!F165</f>
        <v>0</v>
      </c>
      <c r="AN170" s="182">
        <f t="shared" si="49"/>
        <v>5</v>
      </c>
      <c r="AO170" s="182">
        <f>'NG T7.2019'!F165</f>
        <v>0</v>
      </c>
      <c r="AP170" s="181">
        <f t="shared" si="50"/>
        <v>-5</v>
      </c>
      <c r="AQ170" s="194" t="s">
        <v>561</v>
      </c>
    </row>
    <row r="171" spans="1:43" ht="15" customHeight="1" x14ac:dyDescent="0.25">
      <c r="A171" s="3">
        <v>76</v>
      </c>
      <c r="B171" s="186" t="s">
        <v>313</v>
      </c>
      <c r="C171" s="122" t="s">
        <v>318</v>
      </c>
      <c r="D171" s="86" t="s">
        <v>319</v>
      </c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0"/>
      <c r="P171" s="170"/>
      <c r="Q171" s="170"/>
      <c r="R171" s="170"/>
      <c r="S171" s="170">
        <f>1*S9</f>
        <v>1</v>
      </c>
      <c r="T171" s="170">
        <f>1*T9</f>
        <v>1</v>
      </c>
      <c r="U171" s="170">
        <f>1*U9</f>
        <v>1</v>
      </c>
      <c r="V171" s="170">
        <f t="shared" ref="V171:W171" si="59">1*V9</f>
        <v>1</v>
      </c>
      <c r="W171" s="170">
        <f t="shared" si="59"/>
        <v>1</v>
      </c>
      <c r="X171" s="170"/>
      <c r="Y171" s="170"/>
      <c r="Z171" s="170"/>
      <c r="AA171" s="170"/>
      <c r="AB171" s="170"/>
      <c r="AC171" s="170"/>
      <c r="AD171" s="170"/>
      <c r="AE171" s="170"/>
      <c r="AF171" s="170"/>
      <c r="AG171" s="170"/>
      <c r="AH171" s="170"/>
      <c r="AI171" s="170"/>
      <c r="AJ171" s="170"/>
      <c r="AK171" s="72" t="s">
        <v>525</v>
      </c>
      <c r="AL171" s="73"/>
      <c r="AM171" s="63">
        <f>'Import-T7.2019'!F166</f>
        <v>0</v>
      </c>
      <c r="AN171" s="182">
        <f t="shared" si="49"/>
        <v>5</v>
      </c>
      <c r="AO171" s="182">
        <f>'NG T7.2019'!F166</f>
        <v>0</v>
      </c>
      <c r="AP171" s="181">
        <f t="shared" si="50"/>
        <v>-5</v>
      </c>
      <c r="AQ171" s="194" t="s">
        <v>571</v>
      </c>
    </row>
    <row r="172" spans="1:43" ht="15" customHeight="1" x14ac:dyDescent="0.25">
      <c r="A172" s="3">
        <v>77</v>
      </c>
      <c r="B172" s="65"/>
      <c r="C172" s="124" t="s">
        <v>320</v>
      </c>
      <c r="D172" s="86" t="s">
        <v>321</v>
      </c>
      <c r="E172" s="170"/>
      <c r="F172" s="170"/>
      <c r="G172" s="170"/>
      <c r="H172" s="170"/>
      <c r="I172" s="170"/>
      <c r="J172" s="170"/>
      <c r="K172" s="170"/>
      <c r="L172" s="170"/>
      <c r="M172" s="170"/>
      <c r="N172" s="170"/>
      <c r="O172" s="170"/>
      <c r="P172" s="170"/>
      <c r="Q172" s="170"/>
      <c r="R172" s="170"/>
      <c r="S172" s="170"/>
      <c r="T172" s="170"/>
      <c r="U172" s="170"/>
      <c r="V172" s="170"/>
      <c r="W172" s="170"/>
      <c r="X172" s="170"/>
      <c r="Y172" s="170"/>
      <c r="Z172" s="170"/>
      <c r="AA172" s="170"/>
      <c r="AB172" s="170"/>
      <c r="AC172" s="170"/>
      <c r="AD172" s="170"/>
      <c r="AE172" s="170"/>
      <c r="AF172" s="170"/>
      <c r="AG172" s="170"/>
      <c r="AH172" s="170"/>
      <c r="AI172" s="170"/>
      <c r="AJ172" s="170"/>
      <c r="AK172" s="72" t="s">
        <v>526</v>
      </c>
      <c r="AL172" s="180">
        <v>11.5</v>
      </c>
      <c r="AM172" s="63">
        <f>'Import-T7.2019'!F167</f>
        <v>0</v>
      </c>
      <c r="AN172" s="182">
        <f t="shared" si="49"/>
        <v>0</v>
      </c>
      <c r="AO172" s="182">
        <f>'NG T7.2019'!F167</f>
        <v>0</v>
      </c>
      <c r="AP172" s="181">
        <f>AL172+AM172-AN172-AO172</f>
        <v>11.5</v>
      </c>
      <c r="AQ172" s="194" t="s">
        <v>572</v>
      </c>
    </row>
    <row r="173" spans="1:43" ht="15" customHeight="1" x14ac:dyDescent="0.25">
      <c r="A173" s="3">
        <v>78</v>
      </c>
      <c r="B173" s="188" t="s">
        <v>586</v>
      </c>
      <c r="C173" s="114" t="s">
        <v>323</v>
      </c>
      <c r="D173" s="88" t="s">
        <v>324</v>
      </c>
      <c r="E173" s="170">
        <f>1/24*E9</f>
        <v>4.1666666666666664E-2</v>
      </c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70"/>
      <c r="S173" s="170"/>
      <c r="T173" s="170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72" t="s">
        <v>525</v>
      </c>
      <c r="AL173" s="73">
        <v>1391</v>
      </c>
      <c r="AM173" s="63">
        <f>'Import-T7.2019'!F168</f>
        <v>0</v>
      </c>
      <c r="AN173" s="182">
        <f t="shared" si="49"/>
        <v>4.1666666666666664E-2</v>
      </c>
      <c r="AO173" s="182">
        <f>'NG T7.2019'!F168</f>
        <v>0</v>
      </c>
      <c r="AP173" s="181">
        <f t="shared" si="50"/>
        <v>1390.9583333333333</v>
      </c>
      <c r="AQ173" s="195" t="s">
        <v>562</v>
      </c>
    </row>
    <row r="174" spans="1:43" ht="15" customHeight="1" x14ac:dyDescent="0.25">
      <c r="A174" s="3">
        <v>79</v>
      </c>
      <c r="B174" s="188" t="s">
        <v>586</v>
      </c>
      <c r="C174" s="114" t="s">
        <v>325</v>
      </c>
      <c r="D174" s="88" t="s">
        <v>326</v>
      </c>
      <c r="E174" s="170"/>
      <c r="F174" s="170">
        <f>1/24*F9</f>
        <v>4.1666666666666664E-2</v>
      </c>
      <c r="G174" s="170"/>
      <c r="H174" s="170"/>
      <c r="I174" s="170"/>
      <c r="J174" s="170"/>
      <c r="K174" s="170"/>
      <c r="L174" s="170"/>
      <c r="M174" s="170"/>
      <c r="N174" s="170"/>
      <c r="O174" s="170"/>
      <c r="P174" s="170"/>
      <c r="Q174" s="170"/>
      <c r="R174" s="170"/>
      <c r="S174" s="170"/>
      <c r="T174" s="170"/>
      <c r="U174" s="170"/>
      <c r="V174" s="170"/>
      <c r="W174" s="170"/>
      <c r="X174" s="170"/>
      <c r="Y174" s="170"/>
      <c r="Z174" s="170"/>
      <c r="AA174" s="170"/>
      <c r="AB174" s="170"/>
      <c r="AC174" s="170"/>
      <c r="AD174" s="170"/>
      <c r="AE174" s="170"/>
      <c r="AF174" s="170"/>
      <c r="AG174" s="170"/>
      <c r="AH174" s="170"/>
      <c r="AI174" s="170"/>
      <c r="AJ174" s="170"/>
      <c r="AK174" s="72" t="s">
        <v>525</v>
      </c>
      <c r="AL174" s="73">
        <v>789</v>
      </c>
      <c r="AM174" s="63">
        <f>'Import-T7.2019'!F169</f>
        <v>0</v>
      </c>
      <c r="AN174" s="182">
        <f t="shared" si="49"/>
        <v>4.1666666666666664E-2</v>
      </c>
      <c r="AO174" s="182">
        <f>'NG T7.2019'!F169</f>
        <v>0</v>
      </c>
      <c r="AP174" s="181">
        <f t="shared" si="50"/>
        <v>788.95833333333337</v>
      </c>
      <c r="AQ174" s="195" t="s">
        <v>562</v>
      </c>
    </row>
    <row r="175" spans="1:43" ht="15" customHeight="1" x14ac:dyDescent="0.25">
      <c r="A175" s="3">
        <v>80</v>
      </c>
      <c r="B175" s="188" t="s">
        <v>586</v>
      </c>
      <c r="C175" s="114" t="s">
        <v>327</v>
      </c>
      <c r="D175" s="88" t="s">
        <v>328</v>
      </c>
      <c r="E175" s="170"/>
      <c r="F175" s="170"/>
      <c r="G175" s="170">
        <f>1/24*G9</f>
        <v>4.1666666666666664E-2</v>
      </c>
      <c r="H175" s="170"/>
      <c r="I175" s="170"/>
      <c r="J175" s="170"/>
      <c r="K175" s="170"/>
      <c r="L175" s="170"/>
      <c r="M175" s="170"/>
      <c r="N175" s="170"/>
      <c r="O175" s="170"/>
      <c r="P175" s="170"/>
      <c r="Q175" s="170"/>
      <c r="R175" s="170"/>
      <c r="S175" s="170"/>
      <c r="T175" s="170"/>
      <c r="U175" s="170"/>
      <c r="V175" s="170"/>
      <c r="W175" s="170"/>
      <c r="X175" s="170"/>
      <c r="Y175" s="170"/>
      <c r="Z175" s="170"/>
      <c r="AA175" s="170"/>
      <c r="AB175" s="170"/>
      <c r="AC175" s="170"/>
      <c r="AD175" s="170"/>
      <c r="AE175" s="170"/>
      <c r="AF175" s="170"/>
      <c r="AG175" s="170"/>
      <c r="AH175" s="170"/>
      <c r="AI175" s="170"/>
      <c r="AJ175" s="170"/>
      <c r="AK175" s="72" t="s">
        <v>525</v>
      </c>
      <c r="AL175" s="73">
        <v>480</v>
      </c>
      <c r="AM175" s="63">
        <f>'Import-T7.2019'!F170</f>
        <v>0</v>
      </c>
      <c r="AN175" s="182">
        <f t="shared" si="49"/>
        <v>4.1666666666666664E-2</v>
      </c>
      <c r="AO175" s="182">
        <f>'NG T7.2019'!F170</f>
        <v>0</v>
      </c>
      <c r="AP175" s="181">
        <f t="shared" si="50"/>
        <v>479.95833333333331</v>
      </c>
      <c r="AQ175" s="195" t="s">
        <v>562</v>
      </c>
    </row>
    <row r="176" spans="1:43" ht="15" customHeight="1" x14ac:dyDescent="0.25">
      <c r="A176" s="3">
        <v>81</v>
      </c>
      <c r="B176" s="188" t="s">
        <v>586</v>
      </c>
      <c r="C176" s="114" t="s">
        <v>329</v>
      </c>
      <c r="D176" s="88" t="s">
        <v>330</v>
      </c>
      <c r="E176" s="170"/>
      <c r="F176" s="170"/>
      <c r="G176" s="170"/>
      <c r="H176" s="170">
        <f>1/24*H9</f>
        <v>4.1666666666666664E-2</v>
      </c>
      <c r="I176" s="170"/>
      <c r="J176" s="170"/>
      <c r="K176" s="170"/>
      <c r="L176" s="170"/>
      <c r="M176" s="170"/>
      <c r="N176" s="170"/>
      <c r="O176" s="170"/>
      <c r="P176" s="170"/>
      <c r="Q176" s="170"/>
      <c r="R176" s="170"/>
      <c r="S176" s="170"/>
      <c r="T176" s="170"/>
      <c r="U176" s="170"/>
      <c r="V176" s="170"/>
      <c r="W176" s="170"/>
      <c r="X176" s="170"/>
      <c r="Y176" s="170"/>
      <c r="Z176" s="170"/>
      <c r="AA176" s="170"/>
      <c r="AB176" s="170"/>
      <c r="AC176" s="170"/>
      <c r="AD176" s="170"/>
      <c r="AE176" s="170"/>
      <c r="AF176" s="170"/>
      <c r="AG176" s="170"/>
      <c r="AH176" s="170"/>
      <c r="AI176" s="170"/>
      <c r="AJ176" s="170"/>
      <c r="AK176" s="72" t="s">
        <v>525</v>
      </c>
      <c r="AL176" s="73">
        <v>178</v>
      </c>
      <c r="AM176" s="63">
        <f>'Import-T7.2019'!F171</f>
        <v>0</v>
      </c>
      <c r="AN176" s="182">
        <f t="shared" si="49"/>
        <v>4.1666666666666664E-2</v>
      </c>
      <c r="AO176" s="182">
        <f>'NG T7.2019'!F171</f>
        <v>0</v>
      </c>
      <c r="AP176" s="181">
        <f t="shared" si="50"/>
        <v>177.95833333333334</v>
      </c>
      <c r="AQ176" s="195" t="s">
        <v>562</v>
      </c>
    </row>
    <row r="177" spans="1:43" ht="15" customHeight="1" x14ac:dyDescent="0.25">
      <c r="A177" s="3">
        <v>82</v>
      </c>
      <c r="B177" s="188" t="s">
        <v>586</v>
      </c>
      <c r="C177" s="114" t="s">
        <v>331</v>
      </c>
      <c r="D177" s="88" t="s">
        <v>332</v>
      </c>
      <c r="E177" s="170"/>
      <c r="F177" s="170"/>
      <c r="G177" s="170"/>
      <c r="H177" s="170"/>
      <c r="I177" s="170">
        <f>1/24*I9</f>
        <v>4.1666666666666664E-2</v>
      </c>
      <c r="J177" s="170"/>
      <c r="K177" s="170"/>
      <c r="L177" s="170"/>
      <c r="M177" s="170"/>
      <c r="N177" s="170"/>
      <c r="O177" s="170"/>
      <c r="P177" s="170"/>
      <c r="Q177" s="170"/>
      <c r="R177" s="170"/>
      <c r="S177" s="170"/>
      <c r="T177" s="170"/>
      <c r="U177" s="170"/>
      <c r="V177" s="170"/>
      <c r="W177" s="170"/>
      <c r="X177" s="170"/>
      <c r="Y177" s="170"/>
      <c r="Z177" s="170"/>
      <c r="AA177" s="170"/>
      <c r="AB177" s="170"/>
      <c r="AC177" s="170"/>
      <c r="AD177" s="170"/>
      <c r="AE177" s="170"/>
      <c r="AF177" s="170"/>
      <c r="AG177" s="170"/>
      <c r="AH177" s="170"/>
      <c r="AI177" s="170"/>
      <c r="AJ177" s="170"/>
      <c r="AK177" s="72" t="s">
        <v>525</v>
      </c>
      <c r="AL177" s="73"/>
      <c r="AM177" s="63">
        <f>'Import-T7.2019'!F172</f>
        <v>0</v>
      </c>
      <c r="AN177" s="182">
        <f t="shared" si="49"/>
        <v>4.1666666666666664E-2</v>
      </c>
      <c r="AO177" s="182">
        <f>'NG T7.2019'!F172</f>
        <v>0</v>
      </c>
      <c r="AP177" s="181">
        <f t="shared" si="50"/>
        <v>-4.1666666666666664E-2</v>
      </c>
      <c r="AQ177" s="195" t="s">
        <v>562</v>
      </c>
    </row>
    <row r="178" spans="1:43" ht="15" customHeight="1" x14ac:dyDescent="0.25">
      <c r="A178" s="3">
        <v>83</v>
      </c>
      <c r="B178" s="188" t="s">
        <v>586</v>
      </c>
      <c r="C178" s="114" t="s">
        <v>333</v>
      </c>
      <c r="D178" s="88" t="s">
        <v>334</v>
      </c>
      <c r="E178" s="170"/>
      <c r="F178" s="170"/>
      <c r="G178" s="170"/>
      <c r="H178" s="170"/>
      <c r="I178" s="170"/>
      <c r="J178" s="170">
        <f>1/24*J9</f>
        <v>4.1666666666666664E-2</v>
      </c>
      <c r="K178" s="170"/>
      <c r="L178" s="170"/>
      <c r="M178" s="170"/>
      <c r="N178" s="170"/>
      <c r="O178" s="170"/>
      <c r="P178" s="170"/>
      <c r="Q178" s="170"/>
      <c r="R178" s="170"/>
      <c r="S178" s="170"/>
      <c r="T178" s="170"/>
      <c r="U178" s="170"/>
      <c r="V178" s="170"/>
      <c r="W178" s="170"/>
      <c r="X178" s="170"/>
      <c r="Y178" s="170"/>
      <c r="Z178" s="170"/>
      <c r="AA178" s="170"/>
      <c r="AB178" s="170"/>
      <c r="AC178" s="170"/>
      <c r="AD178" s="170"/>
      <c r="AE178" s="170"/>
      <c r="AF178" s="170"/>
      <c r="AG178" s="170"/>
      <c r="AH178" s="170"/>
      <c r="AI178" s="170"/>
      <c r="AJ178" s="170"/>
      <c r="AK178" s="72" t="s">
        <v>525</v>
      </c>
      <c r="AL178" s="73">
        <v>628</v>
      </c>
      <c r="AM178" s="63">
        <f>'Import-T7.2019'!F173</f>
        <v>0</v>
      </c>
      <c r="AN178" s="182">
        <f t="shared" si="49"/>
        <v>4.1666666666666664E-2</v>
      </c>
      <c r="AO178" s="182">
        <f>'NG T7.2019'!F173</f>
        <v>0</v>
      </c>
      <c r="AP178" s="181">
        <f t="shared" si="50"/>
        <v>627.95833333333337</v>
      </c>
      <c r="AQ178" s="195" t="s">
        <v>562</v>
      </c>
    </row>
    <row r="179" spans="1:43" ht="15" customHeight="1" x14ac:dyDescent="0.25">
      <c r="A179" s="3">
        <v>84</v>
      </c>
      <c r="B179" s="188" t="s">
        <v>586</v>
      </c>
      <c r="C179" s="114" t="s">
        <v>335</v>
      </c>
      <c r="D179" s="88" t="s">
        <v>336</v>
      </c>
      <c r="E179" s="170"/>
      <c r="F179" s="170"/>
      <c r="G179" s="170"/>
      <c r="H179" s="170"/>
      <c r="I179" s="170"/>
      <c r="J179" s="170"/>
      <c r="K179" s="170">
        <f>1/24*K9</f>
        <v>4.1666666666666664E-2</v>
      </c>
      <c r="L179" s="170"/>
      <c r="M179" s="170"/>
      <c r="N179" s="170"/>
      <c r="O179" s="170"/>
      <c r="P179" s="170"/>
      <c r="Q179" s="170"/>
      <c r="R179" s="170"/>
      <c r="S179" s="170"/>
      <c r="T179" s="170"/>
      <c r="U179" s="170"/>
      <c r="V179" s="170"/>
      <c r="W179" s="170"/>
      <c r="X179" s="170"/>
      <c r="Y179" s="170"/>
      <c r="Z179" s="170"/>
      <c r="AA179" s="170"/>
      <c r="AB179" s="170"/>
      <c r="AC179" s="170"/>
      <c r="AD179" s="170"/>
      <c r="AE179" s="170"/>
      <c r="AF179" s="170"/>
      <c r="AG179" s="170"/>
      <c r="AH179" s="170"/>
      <c r="AI179" s="170"/>
      <c r="AJ179" s="170"/>
      <c r="AK179" s="72" t="s">
        <v>525</v>
      </c>
      <c r="AL179" s="73">
        <v>718</v>
      </c>
      <c r="AM179" s="63">
        <f>'Import-T7.2019'!F174</f>
        <v>0</v>
      </c>
      <c r="AN179" s="182">
        <f t="shared" si="49"/>
        <v>4.1666666666666664E-2</v>
      </c>
      <c r="AO179" s="182">
        <f>'NG T7.2019'!F174</f>
        <v>0</v>
      </c>
      <c r="AP179" s="181">
        <f t="shared" si="50"/>
        <v>717.95833333333337</v>
      </c>
      <c r="AQ179" s="195" t="s">
        <v>562</v>
      </c>
    </row>
    <row r="180" spans="1:43" ht="15" customHeight="1" x14ac:dyDescent="0.25">
      <c r="A180" s="3">
        <v>85</v>
      </c>
      <c r="B180" s="188" t="s">
        <v>586</v>
      </c>
      <c r="C180" s="114" t="s">
        <v>337</v>
      </c>
      <c r="D180" s="88" t="s">
        <v>338</v>
      </c>
      <c r="E180" s="170"/>
      <c r="F180" s="170"/>
      <c r="G180" s="170"/>
      <c r="H180" s="170"/>
      <c r="I180" s="170"/>
      <c r="J180" s="170"/>
      <c r="K180" s="170"/>
      <c r="L180" s="170">
        <f>1/24*L9</f>
        <v>4.1666666666666664E-2</v>
      </c>
      <c r="M180" s="170"/>
      <c r="N180" s="170"/>
      <c r="O180" s="170"/>
      <c r="P180" s="170"/>
      <c r="Q180" s="170"/>
      <c r="R180" s="170"/>
      <c r="S180" s="170"/>
      <c r="T180" s="170"/>
      <c r="U180" s="170"/>
      <c r="V180" s="170"/>
      <c r="W180" s="170"/>
      <c r="X180" s="170"/>
      <c r="Y180" s="170"/>
      <c r="Z180" s="170"/>
      <c r="AA180" s="170"/>
      <c r="AB180" s="170"/>
      <c r="AC180" s="170"/>
      <c r="AD180" s="170"/>
      <c r="AE180" s="170"/>
      <c r="AF180" s="170"/>
      <c r="AG180" s="170"/>
      <c r="AH180" s="170"/>
      <c r="AI180" s="170"/>
      <c r="AJ180" s="170"/>
      <c r="AK180" s="72" t="s">
        <v>525</v>
      </c>
      <c r="AL180" s="73">
        <v>1711</v>
      </c>
      <c r="AM180" s="63">
        <f>'Import-T7.2019'!F175</f>
        <v>0</v>
      </c>
      <c r="AN180" s="182">
        <f t="shared" si="49"/>
        <v>4.1666666666666664E-2</v>
      </c>
      <c r="AO180" s="182">
        <f>'NG T7.2019'!F175</f>
        <v>0</v>
      </c>
      <c r="AP180" s="181">
        <f t="shared" si="50"/>
        <v>1710.9583333333333</v>
      </c>
      <c r="AQ180" s="195" t="s">
        <v>562</v>
      </c>
    </row>
    <row r="181" spans="1:43" ht="15" customHeight="1" x14ac:dyDescent="0.25">
      <c r="A181" s="3">
        <v>86</v>
      </c>
      <c r="B181" s="188" t="s">
        <v>586</v>
      </c>
      <c r="C181" s="114" t="s">
        <v>339</v>
      </c>
      <c r="D181" s="88" t="s">
        <v>340</v>
      </c>
      <c r="E181" s="170"/>
      <c r="F181" s="170"/>
      <c r="G181" s="170"/>
      <c r="H181" s="170"/>
      <c r="I181" s="170"/>
      <c r="J181" s="170"/>
      <c r="K181" s="170"/>
      <c r="L181" s="170"/>
      <c r="M181" s="170">
        <f>1/24*M9</f>
        <v>4.1666666666666664E-2</v>
      </c>
      <c r="N181" s="170"/>
      <c r="O181" s="170"/>
      <c r="P181" s="170"/>
      <c r="Q181" s="170"/>
      <c r="R181" s="170"/>
      <c r="S181" s="170"/>
      <c r="T181" s="170"/>
      <c r="U181" s="170"/>
      <c r="V181" s="170"/>
      <c r="W181" s="170"/>
      <c r="X181" s="170"/>
      <c r="Y181" s="170"/>
      <c r="Z181" s="170"/>
      <c r="AA181" s="170"/>
      <c r="AB181" s="170"/>
      <c r="AC181" s="170"/>
      <c r="AD181" s="170"/>
      <c r="AE181" s="170"/>
      <c r="AF181" s="170"/>
      <c r="AG181" s="170"/>
      <c r="AH181" s="170"/>
      <c r="AI181" s="170"/>
      <c r="AJ181" s="170"/>
      <c r="AK181" s="72" t="s">
        <v>525</v>
      </c>
      <c r="AL181" s="73">
        <v>827</v>
      </c>
      <c r="AM181" s="63">
        <f>'Import-T7.2019'!F176</f>
        <v>0</v>
      </c>
      <c r="AN181" s="182">
        <f t="shared" si="49"/>
        <v>4.1666666666666664E-2</v>
      </c>
      <c r="AO181" s="182">
        <f>'NG T7.2019'!F176</f>
        <v>0</v>
      </c>
      <c r="AP181" s="181">
        <f t="shared" si="50"/>
        <v>826.95833333333337</v>
      </c>
      <c r="AQ181" s="195" t="s">
        <v>562</v>
      </c>
    </row>
    <row r="182" spans="1:43" ht="15" customHeight="1" x14ac:dyDescent="0.25">
      <c r="A182" s="3">
        <v>87</v>
      </c>
      <c r="B182" s="188" t="s">
        <v>341</v>
      </c>
      <c r="C182" s="114" t="s">
        <v>342</v>
      </c>
      <c r="D182" s="88" t="s">
        <v>343</v>
      </c>
      <c r="E182" s="170"/>
      <c r="F182" s="170"/>
      <c r="G182" s="170"/>
      <c r="H182" s="170"/>
      <c r="I182" s="170"/>
      <c r="J182" s="170"/>
      <c r="K182" s="170"/>
      <c r="L182" s="170"/>
      <c r="M182" s="170"/>
      <c r="N182" s="170">
        <f>1/24*N9</f>
        <v>4.1666666666666664E-2</v>
      </c>
      <c r="O182" s="170"/>
      <c r="P182" s="170"/>
      <c r="Q182" s="170"/>
      <c r="R182" s="170"/>
      <c r="S182" s="170"/>
      <c r="T182" s="170"/>
      <c r="U182" s="170"/>
      <c r="V182" s="170"/>
      <c r="W182" s="170"/>
      <c r="X182" s="170"/>
      <c r="Y182" s="170"/>
      <c r="Z182" s="170"/>
      <c r="AA182" s="170"/>
      <c r="AB182" s="170"/>
      <c r="AC182" s="170"/>
      <c r="AD182" s="170"/>
      <c r="AE182" s="170"/>
      <c r="AF182" s="170"/>
      <c r="AG182" s="170"/>
      <c r="AH182" s="170"/>
      <c r="AI182" s="170"/>
      <c r="AJ182" s="170"/>
      <c r="AK182" s="72" t="s">
        <v>525</v>
      </c>
      <c r="AL182" s="73">
        <v>2308</v>
      </c>
      <c r="AM182" s="63">
        <f>'Import-T7.2019'!F177</f>
        <v>0</v>
      </c>
      <c r="AN182" s="182">
        <f t="shared" si="49"/>
        <v>4.1666666666666664E-2</v>
      </c>
      <c r="AO182" s="182">
        <f>'NG T7.2019'!F177</f>
        <v>0</v>
      </c>
      <c r="AP182" s="181">
        <f t="shared" si="50"/>
        <v>2307.9583333333335</v>
      </c>
      <c r="AQ182" s="195" t="s">
        <v>562</v>
      </c>
    </row>
    <row r="183" spans="1:43" ht="15" customHeight="1" x14ac:dyDescent="0.25">
      <c r="A183" s="3">
        <v>88</v>
      </c>
      <c r="B183" s="188" t="s">
        <v>341</v>
      </c>
      <c r="C183" s="114" t="s">
        <v>344</v>
      </c>
      <c r="D183" s="88" t="s">
        <v>345</v>
      </c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>
        <f>1/24*O9</f>
        <v>4.1666666666666664E-2</v>
      </c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  <c r="AI183" s="170"/>
      <c r="AJ183" s="170"/>
      <c r="AK183" s="72" t="s">
        <v>525</v>
      </c>
      <c r="AL183" s="73">
        <v>2928</v>
      </c>
      <c r="AM183" s="63">
        <f>'Import-T7.2019'!F178</f>
        <v>0</v>
      </c>
      <c r="AN183" s="182">
        <f t="shared" si="49"/>
        <v>4.1666666666666664E-2</v>
      </c>
      <c r="AO183" s="182">
        <f>'NG T7.2019'!F178</f>
        <v>0</v>
      </c>
      <c r="AP183" s="181">
        <f t="shared" si="50"/>
        <v>2927.9583333333335</v>
      </c>
      <c r="AQ183" s="195" t="s">
        <v>562</v>
      </c>
    </row>
    <row r="184" spans="1:43" ht="15" customHeight="1" x14ac:dyDescent="0.25">
      <c r="A184" s="3">
        <v>89</v>
      </c>
      <c r="B184" s="188" t="s">
        <v>341</v>
      </c>
      <c r="C184" s="114" t="s">
        <v>346</v>
      </c>
      <c r="D184" s="88" t="s">
        <v>347</v>
      </c>
      <c r="E184" s="170"/>
      <c r="F184" s="170"/>
      <c r="G184" s="170"/>
      <c r="H184" s="170"/>
      <c r="I184" s="170"/>
      <c r="J184" s="170"/>
      <c r="K184" s="170"/>
      <c r="L184" s="170"/>
      <c r="M184" s="170"/>
      <c r="N184" s="170"/>
      <c r="O184" s="170"/>
      <c r="P184" s="170">
        <f>1/24*P9</f>
        <v>4.1666666666666664E-2</v>
      </c>
      <c r="Q184" s="170"/>
      <c r="R184" s="170"/>
      <c r="S184" s="170"/>
      <c r="T184" s="170"/>
      <c r="U184" s="170"/>
      <c r="V184" s="170"/>
      <c r="W184" s="170"/>
      <c r="X184" s="170"/>
      <c r="Y184" s="170"/>
      <c r="Z184" s="170"/>
      <c r="AA184" s="170"/>
      <c r="AB184" s="170"/>
      <c r="AC184" s="170"/>
      <c r="AD184" s="170"/>
      <c r="AE184" s="170"/>
      <c r="AF184" s="170"/>
      <c r="AG184" s="170"/>
      <c r="AH184" s="170"/>
      <c r="AI184" s="170"/>
      <c r="AJ184" s="170"/>
      <c r="AK184" s="72" t="s">
        <v>525</v>
      </c>
      <c r="AL184" s="73">
        <v>2088</v>
      </c>
      <c r="AM184" s="63">
        <f>'Import-T7.2019'!F179</f>
        <v>0</v>
      </c>
      <c r="AN184" s="182">
        <f t="shared" si="49"/>
        <v>4.1666666666666664E-2</v>
      </c>
      <c r="AO184" s="182">
        <f>'NG T7.2019'!F179</f>
        <v>0</v>
      </c>
      <c r="AP184" s="181">
        <f t="shared" si="50"/>
        <v>2087.9583333333335</v>
      </c>
      <c r="AQ184" s="195" t="s">
        <v>562</v>
      </c>
    </row>
    <row r="185" spans="1:43" ht="15" customHeight="1" x14ac:dyDescent="0.25">
      <c r="A185" s="3">
        <v>90</v>
      </c>
      <c r="B185" s="188" t="s">
        <v>341</v>
      </c>
      <c r="C185" s="114" t="s">
        <v>348</v>
      </c>
      <c r="D185" s="88" t="s">
        <v>349</v>
      </c>
      <c r="E185" s="170"/>
      <c r="F185" s="170"/>
      <c r="G185" s="170"/>
      <c r="H185" s="170"/>
      <c r="I185" s="170"/>
      <c r="J185" s="170"/>
      <c r="K185" s="170"/>
      <c r="L185" s="170"/>
      <c r="M185" s="170"/>
      <c r="N185" s="170"/>
      <c r="O185" s="170"/>
      <c r="P185" s="170"/>
      <c r="Q185" s="170">
        <f>1/24*Q9</f>
        <v>4.1666666666666664E-2</v>
      </c>
      <c r="R185" s="170"/>
      <c r="S185" s="170"/>
      <c r="T185" s="170"/>
      <c r="U185" s="170"/>
      <c r="V185" s="170"/>
      <c r="W185" s="170"/>
      <c r="X185" s="170"/>
      <c r="Y185" s="170"/>
      <c r="Z185" s="170"/>
      <c r="AA185" s="170"/>
      <c r="AB185" s="170"/>
      <c r="AC185" s="170"/>
      <c r="AD185" s="170"/>
      <c r="AE185" s="170"/>
      <c r="AF185" s="170"/>
      <c r="AG185" s="170"/>
      <c r="AH185" s="170"/>
      <c r="AI185" s="170"/>
      <c r="AJ185" s="170"/>
      <c r="AK185" s="72" t="s">
        <v>525</v>
      </c>
      <c r="AL185" s="73">
        <v>2198</v>
      </c>
      <c r="AM185" s="63">
        <f>'Import-T7.2019'!F180</f>
        <v>0</v>
      </c>
      <c r="AN185" s="182">
        <f t="shared" si="49"/>
        <v>4.1666666666666664E-2</v>
      </c>
      <c r="AO185" s="182">
        <f>'NG T7.2019'!F180</f>
        <v>0</v>
      </c>
      <c r="AP185" s="181">
        <f t="shared" si="50"/>
        <v>2197.9583333333335</v>
      </c>
      <c r="AQ185" s="195" t="s">
        <v>562</v>
      </c>
    </row>
    <row r="186" spans="1:43" ht="15" customHeight="1" x14ac:dyDescent="0.25">
      <c r="A186" s="3">
        <v>91</v>
      </c>
      <c r="B186" s="188" t="s">
        <v>341</v>
      </c>
      <c r="C186" s="114" t="s">
        <v>350</v>
      </c>
      <c r="D186" s="88" t="s">
        <v>351</v>
      </c>
      <c r="E186" s="170"/>
      <c r="F186" s="170"/>
      <c r="G186" s="170"/>
      <c r="H186" s="170"/>
      <c r="I186" s="170"/>
      <c r="J186" s="170"/>
      <c r="K186" s="170"/>
      <c r="L186" s="170"/>
      <c r="M186" s="170"/>
      <c r="N186" s="170"/>
      <c r="O186" s="170"/>
      <c r="P186" s="170"/>
      <c r="Q186" s="170"/>
      <c r="R186" s="170">
        <f>1/24*R9</f>
        <v>4.1666666666666664E-2</v>
      </c>
      <c r="S186" s="170"/>
      <c r="T186" s="170"/>
      <c r="U186" s="170"/>
      <c r="V186" s="170"/>
      <c r="W186" s="170"/>
      <c r="X186" s="170"/>
      <c r="Y186" s="170"/>
      <c r="Z186" s="170"/>
      <c r="AA186" s="170"/>
      <c r="AB186" s="170"/>
      <c r="AC186" s="170"/>
      <c r="AD186" s="170"/>
      <c r="AE186" s="170"/>
      <c r="AF186" s="170"/>
      <c r="AG186" s="170"/>
      <c r="AH186" s="170"/>
      <c r="AI186" s="170"/>
      <c r="AJ186" s="170"/>
      <c r="AK186" s="72" t="s">
        <v>525</v>
      </c>
      <c r="AL186" s="73"/>
      <c r="AM186" s="63">
        <f>'Import-T7.2019'!F181</f>
        <v>0</v>
      </c>
      <c r="AN186" s="182">
        <f t="shared" si="49"/>
        <v>4.1666666666666664E-2</v>
      </c>
      <c r="AO186" s="182">
        <f>'NG T7.2019'!F181</f>
        <v>0</v>
      </c>
      <c r="AP186" s="181">
        <f t="shared" si="50"/>
        <v>-4.1666666666666664E-2</v>
      </c>
      <c r="AQ186" s="195" t="s">
        <v>562</v>
      </c>
    </row>
    <row r="187" spans="1:43" ht="15" customHeight="1" x14ac:dyDescent="0.25">
      <c r="A187" s="3">
        <v>92</v>
      </c>
      <c r="B187" s="188" t="s">
        <v>352</v>
      </c>
      <c r="C187" s="114" t="s">
        <v>353</v>
      </c>
      <c r="D187" s="88" t="s">
        <v>354</v>
      </c>
      <c r="E187" s="170"/>
      <c r="F187" s="170"/>
      <c r="G187" s="170"/>
      <c r="H187" s="170"/>
      <c r="I187" s="170"/>
      <c r="J187" s="170"/>
      <c r="K187" s="170"/>
      <c r="L187" s="170"/>
      <c r="M187" s="170"/>
      <c r="N187" s="170"/>
      <c r="O187" s="170"/>
      <c r="P187" s="170"/>
      <c r="Q187" s="170"/>
      <c r="R187" s="170"/>
      <c r="S187" s="170">
        <f>1/50*S9</f>
        <v>0.02</v>
      </c>
      <c r="T187" s="170"/>
      <c r="U187" s="170"/>
      <c r="V187" s="170"/>
      <c r="W187" s="170"/>
      <c r="X187" s="170"/>
      <c r="Y187" s="170"/>
      <c r="Z187" s="170"/>
      <c r="AA187" s="170"/>
      <c r="AB187" s="170"/>
      <c r="AC187" s="170"/>
      <c r="AD187" s="170"/>
      <c r="AE187" s="170"/>
      <c r="AF187" s="170"/>
      <c r="AG187" s="170"/>
      <c r="AH187" s="170"/>
      <c r="AI187" s="170"/>
      <c r="AJ187" s="170"/>
      <c r="AK187" s="72" t="s">
        <v>525</v>
      </c>
      <c r="AL187" s="73"/>
      <c r="AM187" s="63">
        <f>'Import-T7.2019'!F182</f>
        <v>0</v>
      </c>
      <c r="AN187" s="182">
        <f t="shared" si="49"/>
        <v>0.02</v>
      </c>
      <c r="AO187" s="182">
        <f>'NG T7.2019'!F182</f>
        <v>0</v>
      </c>
      <c r="AP187" s="181">
        <f t="shared" si="50"/>
        <v>-0.02</v>
      </c>
      <c r="AQ187" s="195" t="s">
        <v>562</v>
      </c>
    </row>
    <row r="188" spans="1:43" ht="15" customHeight="1" x14ac:dyDescent="0.25">
      <c r="A188" s="3">
        <v>93</v>
      </c>
      <c r="B188" s="188" t="s">
        <v>352</v>
      </c>
      <c r="C188" s="114" t="s">
        <v>355</v>
      </c>
      <c r="D188" s="88" t="s">
        <v>356</v>
      </c>
      <c r="E188" s="170"/>
      <c r="F188" s="170"/>
      <c r="G188" s="170"/>
      <c r="H188" s="170"/>
      <c r="I188" s="170"/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>
        <f>1/50*T9</f>
        <v>0.02</v>
      </c>
      <c r="U188" s="170"/>
      <c r="V188" s="170"/>
      <c r="W188" s="170"/>
      <c r="X188" s="170"/>
      <c r="Y188" s="170"/>
      <c r="Z188" s="170"/>
      <c r="AA188" s="170"/>
      <c r="AB188" s="170"/>
      <c r="AC188" s="170"/>
      <c r="AD188" s="170"/>
      <c r="AE188" s="170"/>
      <c r="AF188" s="170"/>
      <c r="AG188" s="170"/>
      <c r="AH188" s="170"/>
      <c r="AI188" s="170"/>
      <c r="AJ188" s="170"/>
      <c r="AK188" s="72" t="s">
        <v>525</v>
      </c>
      <c r="AL188" s="73"/>
      <c r="AM188" s="63">
        <f>'Import-T7.2019'!F183</f>
        <v>0</v>
      </c>
      <c r="AN188" s="182">
        <f t="shared" si="49"/>
        <v>0.02</v>
      </c>
      <c r="AO188" s="182">
        <f>'NG T7.2019'!F183</f>
        <v>0</v>
      </c>
      <c r="AP188" s="181">
        <f t="shared" si="50"/>
        <v>-0.02</v>
      </c>
      <c r="AQ188" s="195" t="s">
        <v>562</v>
      </c>
    </row>
    <row r="189" spans="1:43" ht="15" customHeight="1" x14ac:dyDescent="0.25">
      <c r="A189" s="3">
        <v>94</v>
      </c>
      <c r="B189" s="188" t="s">
        <v>352</v>
      </c>
      <c r="C189" s="114" t="s">
        <v>357</v>
      </c>
      <c r="D189" s="88" t="s">
        <v>358</v>
      </c>
      <c r="E189" s="170"/>
      <c r="F189" s="170"/>
      <c r="G189" s="170"/>
      <c r="H189" s="170"/>
      <c r="I189" s="170"/>
      <c r="J189" s="170"/>
      <c r="K189" s="170"/>
      <c r="L189" s="170"/>
      <c r="M189" s="170"/>
      <c r="N189" s="170"/>
      <c r="O189" s="170"/>
      <c r="P189" s="170"/>
      <c r="Q189" s="170"/>
      <c r="R189" s="170"/>
      <c r="S189" s="170"/>
      <c r="T189" s="170"/>
      <c r="U189" s="170">
        <f>1/50*U9</f>
        <v>0.02</v>
      </c>
      <c r="V189" s="170"/>
      <c r="W189" s="170"/>
      <c r="X189" s="170"/>
      <c r="Y189" s="170"/>
      <c r="Z189" s="170"/>
      <c r="AA189" s="170"/>
      <c r="AB189" s="170"/>
      <c r="AC189" s="170"/>
      <c r="AD189" s="170"/>
      <c r="AE189" s="170"/>
      <c r="AF189" s="170"/>
      <c r="AG189" s="170"/>
      <c r="AH189" s="170"/>
      <c r="AI189" s="170"/>
      <c r="AJ189" s="170"/>
      <c r="AK189" s="72" t="s">
        <v>525</v>
      </c>
      <c r="AL189" s="73"/>
      <c r="AM189" s="63">
        <f>'Import-T7.2019'!F184</f>
        <v>0</v>
      </c>
      <c r="AN189" s="182">
        <f t="shared" si="49"/>
        <v>0.02</v>
      </c>
      <c r="AO189" s="182">
        <f>'NG T7.2019'!F184</f>
        <v>0</v>
      </c>
      <c r="AP189" s="181">
        <f t="shared" si="50"/>
        <v>-0.02</v>
      </c>
      <c r="AQ189" s="195" t="s">
        <v>562</v>
      </c>
    </row>
    <row r="190" spans="1:43" ht="15" customHeight="1" x14ac:dyDescent="0.25">
      <c r="A190" s="3">
        <v>95</v>
      </c>
      <c r="B190" s="188" t="s">
        <v>352</v>
      </c>
      <c r="C190" s="114" t="s">
        <v>359</v>
      </c>
      <c r="D190" s="88" t="s">
        <v>360</v>
      </c>
      <c r="E190" s="170"/>
      <c r="F190" s="170"/>
      <c r="G190" s="170"/>
      <c r="H190" s="170"/>
      <c r="I190" s="170"/>
      <c r="J190" s="170"/>
      <c r="K190" s="170"/>
      <c r="L190" s="170"/>
      <c r="M190" s="170"/>
      <c r="N190" s="170"/>
      <c r="O190" s="170"/>
      <c r="P190" s="170"/>
      <c r="Q190" s="170"/>
      <c r="R190" s="170"/>
      <c r="S190" s="170"/>
      <c r="T190" s="170"/>
      <c r="U190" s="170"/>
      <c r="V190" s="170">
        <f>1/50*V9</f>
        <v>0.02</v>
      </c>
      <c r="W190" s="170"/>
      <c r="X190" s="170"/>
      <c r="Y190" s="170"/>
      <c r="Z190" s="170"/>
      <c r="AA190" s="170"/>
      <c r="AB190" s="170"/>
      <c r="AC190" s="170"/>
      <c r="AD190" s="170"/>
      <c r="AE190" s="170"/>
      <c r="AF190" s="170"/>
      <c r="AG190" s="170"/>
      <c r="AH190" s="170"/>
      <c r="AI190" s="170"/>
      <c r="AJ190" s="170"/>
      <c r="AK190" s="72" t="s">
        <v>525</v>
      </c>
      <c r="AL190" s="73"/>
      <c r="AM190" s="63">
        <f>'Import-T7.2019'!F185</f>
        <v>0</v>
      </c>
      <c r="AN190" s="182">
        <f t="shared" si="49"/>
        <v>0.02</v>
      </c>
      <c r="AO190" s="182">
        <f>'NG T7.2019'!F185</f>
        <v>0</v>
      </c>
      <c r="AP190" s="181">
        <f t="shared" si="50"/>
        <v>-0.02</v>
      </c>
      <c r="AQ190" s="195" t="s">
        <v>562</v>
      </c>
    </row>
    <row r="191" spans="1:43" ht="15" customHeight="1" x14ac:dyDescent="0.25">
      <c r="A191" s="3">
        <v>96</v>
      </c>
      <c r="B191" s="188" t="s">
        <v>352</v>
      </c>
      <c r="C191" s="114" t="s">
        <v>361</v>
      </c>
      <c r="D191" s="88" t="s">
        <v>362</v>
      </c>
      <c r="E191" s="170"/>
      <c r="F191" s="170"/>
      <c r="G191" s="170"/>
      <c r="H191" s="170"/>
      <c r="I191" s="170"/>
      <c r="J191" s="170"/>
      <c r="K191" s="170"/>
      <c r="L191" s="170"/>
      <c r="M191" s="170"/>
      <c r="N191" s="170"/>
      <c r="O191" s="170"/>
      <c r="P191" s="170"/>
      <c r="Q191" s="170"/>
      <c r="R191" s="170"/>
      <c r="S191" s="170"/>
      <c r="T191" s="170"/>
      <c r="U191" s="170"/>
      <c r="V191" s="170"/>
      <c r="W191" s="170">
        <f>1/50*W9</f>
        <v>0.02</v>
      </c>
      <c r="X191" s="170"/>
      <c r="Y191" s="170"/>
      <c r="Z191" s="170"/>
      <c r="AA191" s="170"/>
      <c r="AB191" s="170"/>
      <c r="AC191" s="170"/>
      <c r="AD191" s="170"/>
      <c r="AE191" s="170"/>
      <c r="AF191" s="170"/>
      <c r="AG191" s="170"/>
      <c r="AH191" s="170"/>
      <c r="AI191" s="170"/>
      <c r="AJ191" s="170"/>
      <c r="AK191" s="72" t="s">
        <v>525</v>
      </c>
      <c r="AL191" s="73"/>
      <c r="AM191" s="63">
        <f>'Import-T7.2019'!F186</f>
        <v>0</v>
      </c>
      <c r="AN191" s="182">
        <f t="shared" si="49"/>
        <v>0.02</v>
      </c>
      <c r="AO191" s="182">
        <f>'NG T7.2019'!F186</f>
        <v>0</v>
      </c>
      <c r="AP191" s="181">
        <f t="shared" si="50"/>
        <v>-0.02</v>
      </c>
      <c r="AQ191" s="195" t="s">
        <v>562</v>
      </c>
    </row>
    <row r="192" spans="1:43" ht="15" customHeight="1" x14ac:dyDescent="0.25">
      <c r="A192" s="3">
        <v>97</v>
      </c>
      <c r="B192" s="188" t="s">
        <v>352</v>
      </c>
      <c r="C192" s="114" t="s">
        <v>363</v>
      </c>
      <c r="D192" s="88" t="s">
        <v>364</v>
      </c>
      <c r="E192" s="170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70"/>
      <c r="R192" s="170"/>
      <c r="S192" s="170"/>
      <c r="T192" s="170"/>
      <c r="U192" s="170"/>
      <c r="V192" s="170"/>
      <c r="W192" s="170"/>
      <c r="X192" s="170">
        <f>1/24*X9</f>
        <v>4.1666666666666664E-2</v>
      </c>
      <c r="Y192" s="170"/>
      <c r="Z192" s="170"/>
      <c r="AA192" s="170"/>
      <c r="AB192" s="170"/>
      <c r="AC192" s="170"/>
      <c r="AD192" s="170"/>
      <c r="AE192" s="170"/>
      <c r="AF192" s="170"/>
      <c r="AG192" s="170"/>
      <c r="AH192" s="170"/>
      <c r="AI192" s="170"/>
      <c r="AJ192" s="170"/>
      <c r="AK192" s="72" t="s">
        <v>525</v>
      </c>
      <c r="AL192" s="73"/>
      <c r="AM192" s="63">
        <f>'Import-T7.2019'!F187</f>
        <v>0</v>
      </c>
      <c r="AN192" s="182">
        <f t="shared" si="49"/>
        <v>4.1666666666666664E-2</v>
      </c>
      <c r="AO192" s="182">
        <f>'NG T7.2019'!F187</f>
        <v>0</v>
      </c>
      <c r="AP192" s="181">
        <f t="shared" si="50"/>
        <v>-4.1666666666666664E-2</v>
      </c>
      <c r="AQ192" s="195" t="s">
        <v>562</v>
      </c>
    </row>
    <row r="193" spans="1:43" ht="15" customHeight="1" x14ac:dyDescent="0.25">
      <c r="A193" s="3">
        <v>98</v>
      </c>
      <c r="B193" s="188" t="s">
        <v>352</v>
      </c>
      <c r="C193" s="114" t="s">
        <v>365</v>
      </c>
      <c r="D193" s="88" t="s">
        <v>366</v>
      </c>
      <c r="E193" s="170"/>
      <c r="F193" s="170"/>
      <c r="G193" s="170"/>
      <c r="H193" s="170"/>
      <c r="I193" s="170"/>
      <c r="J193" s="170"/>
      <c r="K193" s="170"/>
      <c r="L193" s="170"/>
      <c r="M193" s="170"/>
      <c r="N193" s="170"/>
      <c r="O193" s="170"/>
      <c r="P193" s="170"/>
      <c r="Q193" s="170"/>
      <c r="R193" s="170"/>
      <c r="S193" s="170"/>
      <c r="T193" s="170"/>
      <c r="U193" s="170"/>
      <c r="V193" s="170"/>
      <c r="W193" s="170"/>
      <c r="X193" s="170"/>
      <c r="Y193" s="170">
        <f>1/24*Y9</f>
        <v>4.1666666666666664E-2</v>
      </c>
      <c r="Z193" s="170"/>
      <c r="AA193" s="170"/>
      <c r="AB193" s="170"/>
      <c r="AC193" s="170"/>
      <c r="AD193" s="170"/>
      <c r="AE193" s="170"/>
      <c r="AF193" s="170"/>
      <c r="AG193" s="170"/>
      <c r="AH193" s="170"/>
      <c r="AI193" s="170"/>
      <c r="AJ193" s="170"/>
      <c r="AK193" s="72" t="s">
        <v>525</v>
      </c>
      <c r="AL193" s="73"/>
      <c r="AM193" s="63">
        <f>'Import-T7.2019'!F188</f>
        <v>0</v>
      </c>
      <c r="AN193" s="182">
        <f t="shared" si="49"/>
        <v>4.1666666666666664E-2</v>
      </c>
      <c r="AO193" s="182">
        <f>'NG T7.2019'!F188</f>
        <v>0</v>
      </c>
      <c r="AP193" s="181">
        <f t="shared" si="50"/>
        <v>-4.1666666666666664E-2</v>
      </c>
      <c r="AQ193" s="195" t="s">
        <v>562</v>
      </c>
    </row>
    <row r="194" spans="1:43" ht="15" customHeight="1" x14ac:dyDescent="0.25">
      <c r="A194" s="3">
        <v>99</v>
      </c>
      <c r="B194" s="188" t="s">
        <v>352</v>
      </c>
      <c r="C194" s="114" t="s">
        <v>367</v>
      </c>
      <c r="D194" s="88" t="s">
        <v>368</v>
      </c>
      <c r="E194" s="170"/>
      <c r="F194" s="170"/>
      <c r="G194" s="170"/>
      <c r="H194" s="170"/>
      <c r="I194" s="170"/>
      <c r="J194" s="170"/>
      <c r="K194" s="170"/>
      <c r="L194" s="170"/>
      <c r="M194" s="170"/>
      <c r="N194" s="170"/>
      <c r="O194" s="170"/>
      <c r="P194" s="170"/>
      <c r="Q194" s="170"/>
      <c r="R194" s="170"/>
      <c r="S194" s="170"/>
      <c r="T194" s="170"/>
      <c r="U194" s="170"/>
      <c r="V194" s="170"/>
      <c r="W194" s="170"/>
      <c r="X194" s="170"/>
      <c r="Y194" s="170"/>
      <c r="Z194" s="170">
        <f>1/24*Z9</f>
        <v>4.1666666666666664E-2</v>
      </c>
      <c r="AA194" s="170"/>
      <c r="AB194" s="170"/>
      <c r="AC194" s="170"/>
      <c r="AD194" s="170"/>
      <c r="AE194" s="170"/>
      <c r="AF194" s="170"/>
      <c r="AG194" s="170"/>
      <c r="AH194" s="170"/>
      <c r="AI194" s="170"/>
      <c r="AJ194" s="170"/>
      <c r="AK194" s="72" t="s">
        <v>525</v>
      </c>
      <c r="AL194" s="73"/>
      <c r="AM194" s="63">
        <f>'Import-T7.2019'!F189</f>
        <v>0</v>
      </c>
      <c r="AN194" s="182">
        <f t="shared" si="49"/>
        <v>4.1666666666666664E-2</v>
      </c>
      <c r="AO194" s="182">
        <f>'NG T7.2019'!F189</f>
        <v>0</v>
      </c>
      <c r="AP194" s="181">
        <f t="shared" si="50"/>
        <v>-4.1666666666666664E-2</v>
      </c>
      <c r="AQ194" s="195" t="s">
        <v>562</v>
      </c>
    </row>
    <row r="195" spans="1:43" ht="15" customHeight="1" x14ac:dyDescent="0.25">
      <c r="A195" s="3">
        <v>100</v>
      </c>
      <c r="B195" s="188" t="s">
        <v>352</v>
      </c>
      <c r="C195" s="114" t="s">
        <v>369</v>
      </c>
      <c r="D195" s="88" t="s">
        <v>370</v>
      </c>
      <c r="E195" s="170"/>
      <c r="F195" s="170"/>
      <c r="G195" s="170"/>
      <c r="H195" s="170"/>
      <c r="I195" s="170"/>
      <c r="J195" s="170"/>
      <c r="K195" s="170"/>
      <c r="L195" s="170"/>
      <c r="M195" s="170"/>
      <c r="N195" s="170"/>
      <c r="O195" s="170"/>
      <c r="P195" s="170"/>
      <c r="Q195" s="170"/>
      <c r="R195" s="170"/>
      <c r="S195" s="170"/>
      <c r="T195" s="170"/>
      <c r="U195" s="170"/>
      <c r="V195" s="170"/>
      <c r="W195" s="170"/>
      <c r="X195" s="170"/>
      <c r="Y195" s="170"/>
      <c r="Z195" s="170"/>
      <c r="AA195" s="170">
        <f>1/24*AA9</f>
        <v>4.1666666666666664E-2</v>
      </c>
      <c r="AB195" s="170"/>
      <c r="AC195" s="170"/>
      <c r="AD195" s="170"/>
      <c r="AE195" s="170"/>
      <c r="AF195" s="170"/>
      <c r="AG195" s="170"/>
      <c r="AH195" s="170"/>
      <c r="AI195" s="170"/>
      <c r="AJ195" s="170"/>
      <c r="AK195" s="72" t="s">
        <v>525</v>
      </c>
      <c r="AL195" s="73"/>
      <c r="AM195" s="63">
        <f>'Import-T7.2019'!F190</f>
        <v>0</v>
      </c>
      <c r="AN195" s="182">
        <f t="shared" si="49"/>
        <v>4.1666666666666664E-2</v>
      </c>
      <c r="AO195" s="182">
        <f>'NG T7.2019'!F190</f>
        <v>0</v>
      </c>
      <c r="AP195" s="181">
        <f t="shared" si="50"/>
        <v>-4.1666666666666664E-2</v>
      </c>
      <c r="AQ195" s="195" t="s">
        <v>562</v>
      </c>
    </row>
    <row r="196" spans="1:43" ht="15" customHeight="1" x14ac:dyDescent="0.25">
      <c r="A196" s="3">
        <v>101</v>
      </c>
      <c r="B196" s="188" t="s">
        <v>352</v>
      </c>
      <c r="C196" s="114" t="s">
        <v>371</v>
      </c>
      <c r="D196" s="88" t="s">
        <v>372</v>
      </c>
      <c r="E196" s="170"/>
      <c r="F196" s="170"/>
      <c r="G196" s="170"/>
      <c r="H196" s="170"/>
      <c r="I196" s="170"/>
      <c r="J196" s="170"/>
      <c r="K196" s="170"/>
      <c r="L196" s="170"/>
      <c r="M196" s="170"/>
      <c r="N196" s="170"/>
      <c r="O196" s="170"/>
      <c r="P196" s="170"/>
      <c r="Q196" s="170"/>
      <c r="R196" s="170"/>
      <c r="S196" s="170"/>
      <c r="T196" s="170"/>
      <c r="U196" s="170"/>
      <c r="V196" s="170"/>
      <c r="W196" s="170"/>
      <c r="X196" s="170"/>
      <c r="Y196" s="170"/>
      <c r="Z196" s="170"/>
      <c r="AA196" s="170"/>
      <c r="AB196" s="170">
        <f>1/24*AB9</f>
        <v>4.1666666666666664E-2</v>
      </c>
      <c r="AC196" s="170"/>
      <c r="AD196" s="170"/>
      <c r="AE196" s="170"/>
      <c r="AF196" s="170"/>
      <c r="AG196" s="170"/>
      <c r="AH196" s="170"/>
      <c r="AI196" s="170"/>
      <c r="AJ196" s="170"/>
      <c r="AK196" s="72" t="s">
        <v>525</v>
      </c>
      <c r="AL196" s="73"/>
      <c r="AM196" s="63">
        <f>'Import-T7.2019'!F191</f>
        <v>0</v>
      </c>
      <c r="AN196" s="182">
        <f t="shared" si="49"/>
        <v>4.1666666666666664E-2</v>
      </c>
      <c r="AO196" s="182">
        <f>'NG T7.2019'!F191</f>
        <v>0</v>
      </c>
      <c r="AP196" s="181">
        <f t="shared" si="50"/>
        <v>-4.1666666666666664E-2</v>
      </c>
      <c r="AQ196" s="195" t="s">
        <v>562</v>
      </c>
    </row>
    <row r="197" spans="1:43" ht="15" customHeight="1" x14ac:dyDescent="0.25">
      <c r="A197" s="3">
        <v>102</v>
      </c>
      <c r="B197" s="188" t="s">
        <v>352</v>
      </c>
      <c r="C197" s="114" t="s">
        <v>373</v>
      </c>
      <c r="D197" s="88" t="s">
        <v>374</v>
      </c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70"/>
      <c r="V197" s="170"/>
      <c r="W197" s="170"/>
      <c r="X197" s="170"/>
      <c r="Y197" s="170"/>
      <c r="Z197" s="170"/>
      <c r="AA197" s="170"/>
      <c r="AB197" s="170"/>
      <c r="AC197" s="170">
        <f>1/24*AC9</f>
        <v>4.1666666666666664E-2</v>
      </c>
      <c r="AD197" s="170"/>
      <c r="AE197" s="170"/>
      <c r="AF197" s="170"/>
      <c r="AG197" s="170">
        <f>1/24*AG9</f>
        <v>4.1666666666666664E-2</v>
      </c>
      <c r="AH197" s="170"/>
      <c r="AI197" s="170"/>
      <c r="AJ197" s="170"/>
      <c r="AK197" s="72" t="s">
        <v>525</v>
      </c>
      <c r="AL197" s="73"/>
      <c r="AM197" s="63">
        <f>'Import-T7.2019'!F192</f>
        <v>0</v>
      </c>
      <c r="AN197" s="182">
        <f t="shared" si="49"/>
        <v>8.3333333333333329E-2</v>
      </c>
      <c r="AO197" s="182">
        <f>'NG T7.2019'!F192</f>
        <v>0</v>
      </c>
      <c r="AP197" s="181">
        <f t="shared" si="50"/>
        <v>-8.3333333333333329E-2</v>
      </c>
      <c r="AQ197" s="195" t="s">
        <v>562</v>
      </c>
    </row>
    <row r="198" spans="1:43" ht="15" customHeight="1" x14ac:dyDescent="0.25">
      <c r="A198" s="3">
        <v>103</v>
      </c>
      <c r="B198" s="188" t="s">
        <v>352</v>
      </c>
      <c r="C198" s="114" t="s">
        <v>375</v>
      </c>
      <c r="D198" s="88" t="s">
        <v>376</v>
      </c>
      <c r="E198" s="170"/>
      <c r="F198" s="170"/>
      <c r="G198" s="170"/>
      <c r="H198" s="170"/>
      <c r="I198" s="170"/>
      <c r="J198" s="170"/>
      <c r="K198" s="170"/>
      <c r="L198" s="170"/>
      <c r="M198" s="170"/>
      <c r="N198" s="170"/>
      <c r="O198" s="170"/>
      <c r="P198" s="170"/>
      <c r="Q198" s="170"/>
      <c r="R198" s="170"/>
      <c r="S198" s="170"/>
      <c r="T198" s="170"/>
      <c r="U198" s="170"/>
      <c r="V198" s="170"/>
      <c r="W198" s="170"/>
      <c r="X198" s="170"/>
      <c r="Y198" s="170"/>
      <c r="Z198" s="170"/>
      <c r="AA198" s="170"/>
      <c r="AB198" s="170"/>
      <c r="AC198" s="170"/>
      <c r="AD198" s="170">
        <f>1/24*AD9</f>
        <v>4.1666666666666664E-2</v>
      </c>
      <c r="AE198" s="170"/>
      <c r="AF198" s="170"/>
      <c r="AG198" s="170"/>
      <c r="AH198" s="170">
        <f>1/24*AH9</f>
        <v>4.1666666666666664E-2</v>
      </c>
      <c r="AI198" s="170"/>
      <c r="AJ198" s="170"/>
      <c r="AK198" s="72" t="s">
        <v>525</v>
      </c>
      <c r="AL198" s="73"/>
      <c r="AM198" s="63">
        <f>'Import-T7.2019'!F193</f>
        <v>0</v>
      </c>
      <c r="AN198" s="182">
        <f t="shared" si="49"/>
        <v>8.3333333333333329E-2</v>
      </c>
      <c r="AO198" s="182">
        <f>'NG T7.2019'!F193</f>
        <v>0</v>
      </c>
      <c r="AP198" s="181">
        <f t="shared" si="50"/>
        <v>-8.3333333333333329E-2</v>
      </c>
      <c r="AQ198" s="195" t="s">
        <v>562</v>
      </c>
    </row>
    <row r="199" spans="1:43" ht="15" customHeight="1" x14ac:dyDescent="0.25">
      <c r="A199" s="3">
        <v>104</v>
      </c>
      <c r="B199" s="188" t="s">
        <v>352</v>
      </c>
      <c r="C199" s="114" t="s">
        <v>377</v>
      </c>
      <c r="D199" s="88" t="s">
        <v>378</v>
      </c>
      <c r="E199" s="170"/>
      <c r="F199" s="170"/>
      <c r="G199" s="170"/>
      <c r="H199" s="170"/>
      <c r="I199" s="170"/>
      <c r="J199" s="170"/>
      <c r="K199" s="170"/>
      <c r="L199" s="170"/>
      <c r="M199" s="170"/>
      <c r="N199" s="170"/>
      <c r="O199" s="170"/>
      <c r="P199" s="170"/>
      <c r="Q199" s="170"/>
      <c r="R199" s="170"/>
      <c r="S199" s="170"/>
      <c r="T199" s="170"/>
      <c r="U199" s="170"/>
      <c r="V199" s="170"/>
      <c r="W199" s="170"/>
      <c r="X199" s="170"/>
      <c r="Y199" s="170"/>
      <c r="Z199" s="170"/>
      <c r="AA199" s="170"/>
      <c r="AB199" s="170"/>
      <c r="AC199" s="170"/>
      <c r="AD199" s="170"/>
      <c r="AE199" s="170">
        <f>1/24*AE9</f>
        <v>4.1666666666666664E-2</v>
      </c>
      <c r="AF199" s="170"/>
      <c r="AG199" s="170"/>
      <c r="AH199" s="170"/>
      <c r="AI199" s="170">
        <f>1/24*AI9</f>
        <v>4.1666666666666664E-2</v>
      </c>
      <c r="AJ199" s="170"/>
      <c r="AK199" s="72" t="s">
        <v>525</v>
      </c>
      <c r="AL199" s="73"/>
      <c r="AM199" s="63">
        <f>'Import-T7.2019'!F194</f>
        <v>0</v>
      </c>
      <c r="AN199" s="182">
        <f t="shared" si="49"/>
        <v>8.3333333333333329E-2</v>
      </c>
      <c r="AO199" s="182">
        <f>'NG T7.2019'!F194</f>
        <v>0</v>
      </c>
      <c r="AP199" s="181">
        <f t="shared" si="50"/>
        <v>-8.3333333333333329E-2</v>
      </c>
      <c r="AQ199" s="195" t="s">
        <v>562</v>
      </c>
    </row>
    <row r="200" spans="1:43" ht="15" customHeight="1" x14ac:dyDescent="0.25">
      <c r="A200" s="3">
        <v>105</v>
      </c>
      <c r="B200" s="188" t="s">
        <v>352</v>
      </c>
      <c r="C200" s="114" t="s">
        <v>379</v>
      </c>
      <c r="D200" s="88" t="s">
        <v>380</v>
      </c>
      <c r="E200" s="170"/>
      <c r="F200" s="170"/>
      <c r="G200" s="170"/>
      <c r="H200" s="170"/>
      <c r="I200" s="170"/>
      <c r="J200" s="170"/>
      <c r="K200" s="170"/>
      <c r="L200" s="170"/>
      <c r="M200" s="170"/>
      <c r="N200" s="170"/>
      <c r="O200" s="170"/>
      <c r="P200" s="170"/>
      <c r="Q200" s="170"/>
      <c r="R200" s="170"/>
      <c r="S200" s="170"/>
      <c r="T200" s="170"/>
      <c r="U200" s="170"/>
      <c r="V200" s="170"/>
      <c r="W200" s="170"/>
      <c r="X200" s="170"/>
      <c r="Y200" s="170"/>
      <c r="Z200" s="170"/>
      <c r="AA200" s="170"/>
      <c r="AB200" s="170"/>
      <c r="AC200" s="170"/>
      <c r="AD200" s="170"/>
      <c r="AE200" s="170"/>
      <c r="AF200" s="170">
        <f>1/24*AF9</f>
        <v>4.1666666666666664E-2</v>
      </c>
      <c r="AG200" s="170"/>
      <c r="AH200" s="170"/>
      <c r="AI200" s="170"/>
      <c r="AJ200" s="170">
        <f>1/24*AJ9</f>
        <v>4.1666666666666664E-2</v>
      </c>
      <c r="AK200" s="72" t="s">
        <v>525</v>
      </c>
      <c r="AL200" s="73"/>
      <c r="AM200" s="63">
        <f>'Import-T7.2019'!F195</f>
        <v>0</v>
      </c>
      <c r="AN200" s="182">
        <f t="shared" si="49"/>
        <v>8.3333333333333329E-2</v>
      </c>
      <c r="AO200" s="182">
        <f>'NG T7.2019'!F195</f>
        <v>0</v>
      </c>
      <c r="AP200" s="181">
        <f t="shared" si="50"/>
        <v>-8.3333333333333329E-2</v>
      </c>
      <c r="AQ200" s="195" t="s">
        <v>562</v>
      </c>
    </row>
    <row r="201" spans="1:43" ht="15" customHeight="1" x14ac:dyDescent="0.25">
      <c r="A201" s="3">
        <v>106</v>
      </c>
      <c r="B201" s="188" t="s">
        <v>381</v>
      </c>
      <c r="C201" s="114" t="s">
        <v>382</v>
      </c>
      <c r="D201" s="88" t="s">
        <v>383</v>
      </c>
      <c r="E201" s="170">
        <f>1/6*E9</f>
        <v>0.16666666666666666</v>
      </c>
      <c r="F201" s="170"/>
      <c r="G201" s="170"/>
      <c r="H201" s="170"/>
      <c r="I201" s="170"/>
      <c r="J201" s="170"/>
      <c r="K201" s="170"/>
      <c r="L201" s="170"/>
      <c r="M201" s="170"/>
      <c r="N201" s="170"/>
      <c r="O201" s="170"/>
      <c r="P201" s="170"/>
      <c r="Q201" s="170"/>
      <c r="R201" s="170"/>
      <c r="S201" s="170"/>
      <c r="T201" s="170"/>
      <c r="U201" s="170"/>
      <c r="V201" s="170"/>
      <c r="W201" s="170"/>
      <c r="X201" s="170"/>
      <c r="Y201" s="170"/>
      <c r="Z201" s="170"/>
      <c r="AA201" s="170"/>
      <c r="AB201" s="170"/>
      <c r="AC201" s="170"/>
      <c r="AD201" s="170"/>
      <c r="AE201" s="170"/>
      <c r="AF201" s="170"/>
      <c r="AG201" s="170"/>
      <c r="AH201" s="170"/>
      <c r="AI201" s="170"/>
      <c r="AJ201" s="170"/>
      <c r="AK201" s="72" t="s">
        <v>525</v>
      </c>
      <c r="AL201" s="73">
        <v>6163</v>
      </c>
      <c r="AM201" s="63">
        <f>'Import-T7.2019'!F196</f>
        <v>0</v>
      </c>
      <c r="AN201" s="182">
        <f t="shared" si="49"/>
        <v>0.16666666666666666</v>
      </c>
      <c r="AO201" s="182">
        <f>'NG T7.2019'!F196</f>
        <v>0</v>
      </c>
      <c r="AP201" s="181">
        <f t="shared" si="50"/>
        <v>6162.833333333333</v>
      </c>
      <c r="AQ201" s="195" t="s">
        <v>562</v>
      </c>
    </row>
    <row r="202" spans="1:43" ht="15" customHeight="1" x14ac:dyDescent="0.25">
      <c r="A202" s="3">
        <v>107</v>
      </c>
      <c r="B202" s="188" t="s">
        <v>381</v>
      </c>
      <c r="C202" s="114" t="s">
        <v>384</v>
      </c>
      <c r="D202" s="88" t="s">
        <v>385</v>
      </c>
      <c r="E202" s="170"/>
      <c r="F202" s="170">
        <f>1/6*F9</f>
        <v>0.16666666666666666</v>
      </c>
      <c r="G202" s="170"/>
      <c r="H202" s="170"/>
      <c r="I202" s="170"/>
      <c r="J202" s="170"/>
      <c r="K202" s="170"/>
      <c r="L202" s="170"/>
      <c r="M202" s="170"/>
      <c r="N202" s="170"/>
      <c r="O202" s="170"/>
      <c r="P202" s="170"/>
      <c r="Q202" s="170"/>
      <c r="R202" s="170"/>
      <c r="S202" s="170"/>
      <c r="T202" s="170"/>
      <c r="U202" s="170"/>
      <c r="V202" s="170"/>
      <c r="W202" s="170"/>
      <c r="X202" s="170"/>
      <c r="Y202" s="170"/>
      <c r="Z202" s="170"/>
      <c r="AA202" s="170"/>
      <c r="AB202" s="170"/>
      <c r="AC202" s="170"/>
      <c r="AD202" s="170"/>
      <c r="AE202" s="170"/>
      <c r="AF202" s="170"/>
      <c r="AG202" s="170"/>
      <c r="AH202" s="170"/>
      <c r="AI202" s="170"/>
      <c r="AJ202" s="170"/>
      <c r="AK202" s="72" t="s">
        <v>525</v>
      </c>
      <c r="AL202" s="73">
        <v>2840</v>
      </c>
      <c r="AM202" s="63">
        <f>'Import-T7.2019'!F197</f>
        <v>0</v>
      </c>
      <c r="AN202" s="182">
        <f t="shared" si="49"/>
        <v>0.16666666666666666</v>
      </c>
      <c r="AO202" s="182">
        <f>'NG T7.2019'!F197</f>
        <v>0</v>
      </c>
      <c r="AP202" s="181">
        <f t="shared" si="50"/>
        <v>2839.8333333333335</v>
      </c>
      <c r="AQ202" s="195" t="s">
        <v>562</v>
      </c>
    </row>
    <row r="203" spans="1:43" ht="15" customHeight="1" x14ac:dyDescent="0.25">
      <c r="A203" s="3">
        <v>108</v>
      </c>
      <c r="B203" s="188" t="s">
        <v>381</v>
      </c>
      <c r="C203" s="114" t="s">
        <v>386</v>
      </c>
      <c r="D203" s="88" t="s">
        <v>387</v>
      </c>
      <c r="E203" s="170"/>
      <c r="F203" s="170"/>
      <c r="G203" s="170">
        <f>1/6*G9</f>
        <v>0.16666666666666666</v>
      </c>
      <c r="H203" s="170"/>
      <c r="I203" s="170"/>
      <c r="J203" s="170"/>
      <c r="K203" s="170"/>
      <c r="L203" s="170"/>
      <c r="M203" s="170"/>
      <c r="N203" s="170"/>
      <c r="O203" s="170"/>
      <c r="P203" s="170"/>
      <c r="Q203" s="170"/>
      <c r="R203" s="170"/>
      <c r="S203" s="170"/>
      <c r="T203" s="170"/>
      <c r="U203" s="170"/>
      <c r="V203" s="170"/>
      <c r="W203" s="170"/>
      <c r="X203" s="170"/>
      <c r="Y203" s="170"/>
      <c r="Z203" s="170"/>
      <c r="AA203" s="170"/>
      <c r="AB203" s="170"/>
      <c r="AC203" s="170"/>
      <c r="AD203" s="170"/>
      <c r="AE203" s="170"/>
      <c r="AF203" s="170"/>
      <c r="AG203" s="170"/>
      <c r="AH203" s="170"/>
      <c r="AI203" s="170"/>
      <c r="AJ203" s="170"/>
      <c r="AK203" s="72" t="s">
        <v>525</v>
      </c>
      <c r="AL203" s="73">
        <v>2146</v>
      </c>
      <c r="AM203" s="63">
        <f>'Import-T7.2019'!F198</f>
        <v>0</v>
      </c>
      <c r="AN203" s="182">
        <f t="shared" si="49"/>
        <v>0.16666666666666666</v>
      </c>
      <c r="AO203" s="182">
        <f>'NG T7.2019'!F198</f>
        <v>0</v>
      </c>
      <c r="AP203" s="181">
        <f t="shared" si="50"/>
        <v>2145.8333333333335</v>
      </c>
      <c r="AQ203" s="195" t="s">
        <v>562</v>
      </c>
    </row>
    <row r="204" spans="1:43" ht="15" customHeight="1" x14ac:dyDescent="0.25">
      <c r="A204" s="3">
        <v>109</v>
      </c>
      <c r="B204" s="188" t="s">
        <v>381</v>
      </c>
      <c r="C204" s="114" t="s">
        <v>388</v>
      </c>
      <c r="D204" s="88" t="s">
        <v>389</v>
      </c>
      <c r="E204" s="170"/>
      <c r="F204" s="170"/>
      <c r="G204" s="170"/>
      <c r="H204" s="170">
        <f>1/6*H9</f>
        <v>0.16666666666666666</v>
      </c>
      <c r="I204" s="170"/>
      <c r="J204" s="170"/>
      <c r="K204" s="170"/>
      <c r="L204" s="170"/>
      <c r="M204" s="170"/>
      <c r="N204" s="170"/>
      <c r="O204" s="170"/>
      <c r="P204" s="170"/>
      <c r="Q204" s="170"/>
      <c r="R204" s="170"/>
      <c r="S204" s="170"/>
      <c r="T204" s="170"/>
      <c r="U204" s="170"/>
      <c r="V204" s="170"/>
      <c r="W204" s="170"/>
      <c r="X204" s="170"/>
      <c r="Y204" s="170"/>
      <c r="Z204" s="170"/>
      <c r="AA204" s="170"/>
      <c r="AB204" s="170"/>
      <c r="AC204" s="170"/>
      <c r="AD204" s="170"/>
      <c r="AE204" s="170"/>
      <c r="AF204" s="170"/>
      <c r="AG204" s="170"/>
      <c r="AH204" s="170"/>
      <c r="AI204" s="170"/>
      <c r="AJ204" s="170"/>
      <c r="AK204" s="72" t="s">
        <v>525</v>
      </c>
      <c r="AL204" s="73">
        <v>62</v>
      </c>
      <c r="AM204" s="63">
        <f>'Import-T7.2019'!F199</f>
        <v>0</v>
      </c>
      <c r="AN204" s="182">
        <f t="shared" si="49"/>
        <v>0.16666666666666666</v>
      </c>
      <c r="AO204" s="182">
        <f>'NG T7.2019'!F199</f>
        <v>0</v>
      </c>
      <c r="AP204" s="181">
        <f t="shared" si="50"/>
        <v>61.833333333333336</v>
      </c>
      <c r="AQ204" s="195" t="s">
        <v>562</v>
      </c>
    </row>
    <row r="205" spans="1:43" ht="15" customHeight="1" x14ac:dyDescent="0.25">
      <c r="A205" s="3">
        <v>110</v>
      </c>
      <c r="B205" s="188" t="s">
        <v>381</v>
      </c>
      <c r="C205" s="114" t="s">
        <v>390</v>
      </c>
      <c r="D205" s="88" t="s">
        <v>391</v>
      </c>
      <c r="E205" s="170"/>
      <c r="F205" s="170"/>
      <c r="G205" s="170"/>
      <c r="H205" s="170"/>
      <c r="I205" s="170">
        <f>1/6*I9</f>
        <v>0.16666666666666666</v>
      </c>
      <c r="J205" s="170"/>
      <c r="K205" s="170"/>
      <c r="L205" s="170"/>
      <c r="M205" s="170"/>
      <c r="N205" s="170"/>
      <c r="O205" s="170"/>
      <c r="P205" s="170"/>
      <c r="Q205" s="170"/>
      <c r="R205" s="170"/>
      <c r="S205" s="170"/>
      <c r="T205" s="170"/>
      <c r="U205" s="170"/>
      <c r="V205" s="170"/>
      <c r="W205" s="170"/>
      <c r="X205" s="170"/>
      <c r="Y205" s="170"/>
      <c r="Z205" s="170"/>
      <c r="AA205" s="170"/>
      <c r="AB205" s="170"/>
      <c r="AC205" s="170"/>
      <c r="AD205" s="170"/>
      <c r="AE205" s="170"/>
      <c r="AF205" s="170"/>
      <c r="AG205" s="170"/>
      <c r="AH205" s="170"/>
      <c r="AI205" s="170"/>
      <c r="AJ205" s="170"/>
      <c r="AK205" s="72" t="s">
        <v>525</v>
      </c>
      <c r="AL205" s="73">
        <v>0</v>
      </c>
      <c r="AM205" s="63">
        <f>'Import-T7.2019'!F200</f>
        <v>0</v>
      </c>
      <c r="AN205" s="182">
        <f t="shared" si="49"/>
        <v>0.16666666666666666</v>
      </c>
      <c r="AO205" s="182">
        <f>'NG T7.2019'!F200</f>
        <v>0</v>
      </c>
      <c r="AP205" s="181">
        <f t="shared" si="50"/>
        <v>-0.16666666666666666</v>
      </c>
      <c r="AQ205" s="195" t="s">
        <v>562</v>
      </c>
    </row>
    <row r="206" spans="1:43" ht="15" customHeight="1" x14ac:dyDescent="0.25">
      <c r="A206" s="3">
        <v>111</v>
      </c>
      <c r="B206" s="188" t="s">
        <v>381</v>
      </c>
      <c r="C206" s="114" t="s">
        <v>392</v>
      </c>
      <c r="D206" s="88" t="s">
        <v>393</v>
      </c>
      <c r="E206" s="170"/>
      <c r="F206" s="170"/>
      <c r="G206" s="170"/>
      <c r="H206" s="170"/>
      <c r="I206" s="170"/>
      <c r="J206" s="170">
        <f>1/6*J9</f>
        <v>0.16666666666666666</v>
      </c>
      <c r="K206" s="170"/>
      <c r="L206" s="170"/>
      <c r="M206" s="170"/>
      <c r="N206" s="170"/>
      <c r="O206" s="170"/>
      <c r="P206" s="170"/>
      <c r="Q206" s="170"/>
      <c r="R206" s="170"/>
      <c r="S206" s="170"/>
      <c r="T206" s="170"/>
      <c r="U206" s="170"/>
      <c r="V206" s="170"/>
      <c r="W206" s="170"/>
      <c r="X206" s="170"/>
      <c r="Y206" s="170"/>
      <c r="Z206" s="170"/>
      <c r="AA206" s="170"/>
      <c r="AB206" s="170"/>
      <c r="AC206" s="170"/>
      <c r="AD206" s="170"/>
      <c r="AE206" s="170"/>
      <c r="AF206" s="170"/>
      <c r="AG206" s="170"/>
      <c r="AH206" s="170"/>
      <c r="AI206" s="170"/>
      <c r="AJ206" s="170"/>
      <c r="AK206" s="72" t="s">
        <v>525</v>
      </c>
      <c r="AL206" s="73">
        <v>2282</v>
      </c>
      <c r="AM206" s="63">
        <f>'Import-T7.2019'!F201</f>
        <v>0</v>
      </c>
      <c r="AN206" s="182">
        <f t="shared" si="49"/>
        <v>0.16666666666666666</v>
      </c>
      <c r="AO206" s="182">
        <f>'NG T7.2019'!F201</f>
        <v>0</v>
      </c>
      <c r="AP206" s="181">
        <f t="shared" si="50"/>
        <v>2281.8333333333335</v>
      </c>
      <c r="AQ206" s="195" t="s">
        <v>562</v>
      </c>
    </row>
    <row r="207" spans="1:43" ht="15" customHeight="1" x14ac:dyDescent="0.25">
      <c r="A207" s="3">
        <v>112</v>
      </c>
      <c r="B207" s="188" t="s">
        <v>381</v>
      </c>
      <c r="C207" s="114" t="s">
        <v>394</v>
      </c>
      <c r="D207" s="88" t="s">
        <v>395</v>
      </c>
      <c r="E207" s="170"/>
      <c r="F207" s="170"/>
      <c r="G207" s="170"/>
      <c r="H207" s="170"/>
      <c r="I207" s="170"/>
      <c r="J207" s="170"/>
      <c r="K207" s="170">
        <f>1/6*K9</f>
        <v>0.16666666666666666</v>
      </c>
      <c r="L207" s="170"/>
      <c r="M207" s="170"/>
      <c r="N207" s="170"/>
      <c r="O207" s="170"/>
      <c r="P207" s="170"/>
      <c r="Q207" s="170"/>
      <c r="R207" s="170"/>
      <c r="S207" s="170"/>
      <c r="T207" s="170"/>
      <c r="U207" s="170"/>
      <c r="V207" s="170"/>
      <c r="W207" s="170"/>
      <c r="X207" s="170"/>
      <c r="Y207" s="170"/>
      <c r="Z207" s="170"/>
      <c r="AA207" s="170"/>
      <c r="AB207" s="170"/>
      <c r="AC207" s="170"/>
      <c r="AD207" s="170"/>
      <c r="AE207" s="170"/>
      <c r="AF207" s="170"/>
      <c r="AG207" s="170"/>
      <c r="AH207" s="170"/>
      <c r="AI207" s="170"/>
      <c r="AJ207" s="170"/>
      <c r="AK207" s="72" t="s">
        <v>525</v>
      </c>
      <c r="AL207" s="73">
        <v>2252</v>
      </c>
      <c r="AM207" s="63">
        <f>'Import-T7.2019'!F202</f>
        <v>0</v>
      </c>
      <c r="AN207" s="182">
        <f t="shared" si="49"/>
        <v>0.16666666666666666</v>
      </c>
      <c r="AO207" s="182">
        <f>'NG T7.2019'!F202</f>
        <v>0</v>
      </c>
      <c r="AP207" s="181">
        <f t="shared" si="50"/>
        <v>2251.8333333333335</v>
      </c>
      <c r="AQ207" s="195" t="s">
        <v>562</v>
      </c>
    </row>
    <row r="208" spans="1:43" ht="15" customHeight="1" x14ac:dyDescent="0.25">
      <c r="A208" s="3">
        <v>113</v>
      </c>
      <c r="B208" s="188" t="s">
        <v>381</v>
      </c>
      <c r="C208" s="114" t="s">
        <v>396</v>
      </c>
      <c r="D208" s="88" t="s">
        <v>397</v>
      </c>
      <c r="E208" s="170"/>
      <c r="F208" s="170"/>
      <c r="G208" s="170"/>
      <c r="H208" s="170"/>
      <c r="I208" s="170"/>
      <c r="J208" s="170"/>
      <c r="K208" s="170"/>
      <c r="L208" s="170">
        <f>1/6*L9</f>
        <v>0.16666666666666666</v>
      </c>
      <c r="M208" s="170"/>
      <c r="N208" s="170"/>
      <c r="O208" s="170"/>
      <c r="P208" s="170"/>
      <c r="Q208" s="170"/>
      <c r="R208" s="170"/>
      <c r="S208" s="170"/>
      <c r="T208" s="170"/>
      <c r="U208" s="170"/>
      <c r="V208" s="170"/>
      <c r="W208" s="170"/>
      <c r="X208" s="170"/>
      <c r="Y208" s="170"/>
      <c r="Z208" s="170"/>
      <c r="AA208" s="170"/>
      <c r="AB208" s="170"/>
      <c r="AC208" s="170"/>
      <c r="AD208" s="170"/>
      <c r="AE208" s="170"/>
      <c r="AF208" s="170"/>
      <c r="AG208" s="170"/>
      <c r="AH208" s="170"/>
      <c r="AI208" s="170"/>
      <c r="AJ208" s="170"/>
      <c r="AK208" s="72" t="s">
        <v>525</v>
      </c>
      <c r="AL208" s="73">
        <v>6463</v>
      </c>
      <c r="AM208" s="63">
        <f>'Import-T7.2019'!F203</f>
        <v>0</v>
      </c>
      <c r="AN208" s="182">
        <f t="shared" si="49"/>
        <v>0.16666666666666666</v>
      </c>
      <c r="AO208" s="182">
        <f>'NG T7.2019'!F203</f>
        <v>0</v>
      </c>
      <c r="AP208" s="181">
        <f t="shared" si="50"/>
        <v>6462.833333333333</v>
      </c>
      <c r="AQ208" s="195" t="s">
        <v>562</v>
      </c>
    </row>
    <row r="209" spans="1:43" ht="15" customHeight="1" x14ac:dyDescent="0.25">
      <c r="A209" s="3">
        <v>114</v>
      </c>
      <c r="B209" s="188" t="s">
        <v>381</v>
      </c>
      <c r="C209" s="114" t="s">
        <v>398</v>
      </c>
      <c r="D209" s="88" t="s">
        <v>399</v>
      </c>
      <c r="E209" s="170"/>
      <c r="F209" s="170"/>
      <c r="G209" s="170"/>
      <c r="H209" s="170"/>
      <c r="I209" s="170"/>
      <c r="J209" s="170"/>
      <c r="K209" s="170"/>
      <c r="L209" s="170"/>
      <c r="M209" s="170">
        <f>1/6*M9</f>
        <v>0.16666666666666666</v>
      </c>
      <c r="N209" s="170"/>
      <c r="O209" s="170"/>
      <c r="P209" s="170"/>
      <c r="Q209" s="170"/>
      <c r="R209" s="170"/>
      <c r="S209" s="170"/>
      <c r="T209" s="170"/>
      <c r="U209" s="170"/>
      <c r="V209" s="170"/>
      <c r="W209" s="170"/>
      <c r="X209" s="170"/>
      <c r="Y209" s="170"/>
      <c r="Z209" s="170"/>
      <c r="AA209" s="170"/>
      <c r="AB209" s="170"/>
      <c r="AC209" s="170"/>
      <c r="AD209" s="170"/>
      <c r="AE209" s="170"/>
      <c r="AF209" s="170"/>
      <c r="AG209" s="170"/>
      <c r="AH209" s="170"/>
      <c r="AI209" s="170"/>
      <c r="AJ209" s="170"/>
      <c r="AK209" s="72" t="s">
        <v>525</v>
      </c>
      <c r="AL209" s="73">
        <v>2611</v>
      </c>
      <c r="AM209" s="63">
        <f>'Import-T7.2019'!F204</f>
        <v>0</v>
      </c>
      <c r="AN209" s="182">
        <f t="shared" si="49"/>
        <v>0.16666666666666666</v>
      </c>
      <c r="AO209" s="182">
        <f>'NG T7.2019'!F204</f>
        <v>0</v>
      </c>
      <c r="AP209" s="181">
        <f t="shared" si="50"/>
        <v>2610.8333333333335</v>
      </c>
      <c r="AQ209" s="195" t="s">
        <v>562</v>
      </c>
    </row>
    <row r="210" spans="1:43" ht="15" customHeight="1" x14ac:dyDescent="0.25">
      <c r="A210" s="3">
        <v>115</v>
      </c>
      <c r="B210" s="188" t="s">
        <v>400</v>
      </c>
      <c r="C210" s="114" t="s">
        <v>401</v>
      </c>
      <c r="D210" s="88" t="s">
        <v>402</v>
      </c>
      <c r="E210" s="170"/>
      <c r="F210" s="170"/>
      <c r="G210" s="170"/>
      <c r="H210" s="170"/>
      <c r="I210" s="170"/>
      <c r="J210" s="170"/>
      <c r="K210" s="170"/>
      <c r="L210" s="170"/>
      <c r="M210" s="170"/>
      <c r="N210" s="170">
        <f>1/6*N9</f>
        <v>0.16666666666666666</v>
      </c>
      <c r="O210" s="170"/>
      <c r="P210" s="170"/>
      <c r="Q210" s="170"/>
      <c r="R210" s="170"/>
      <c r="S210" s="170"/>
      <c r="T210" s="170"/>
      <c r="U210" s="170"/>
      <c r="V210" s="170"/>
      <c r="W210" s="170"/>
      <c r="X210" s="170"/>
      <c r="Y210" s="170"/>
      <c r="Z210" s="170"/>
      <c r="AA210" s="170"/>
      <c r="AB210" s="170"/>
      <c r="AC210" s="170"/>
      <c r="AD210" s="170"/>
      <c r="AE210" s="170"/>
      <c r="AF210" s="170"/>
      <c r="AG210" s="170"/>
      <c r="AH210" s="170"/>
      <c r="AI210" s="170"/>
      <c r="AJ210" s="170"/>
      <c r="AK210" s="72" t="s">
        <v>525</v>
      </c>
      <c r="AL210" s="73">
        <v>9130</v>
      </c>
      <c r="AM210" s="63">
        <f>'Import-T7.2019'!F205</f>
        <v>0</v>
      </c>
      <c r="AN210" s="182">
        <f t="shared" si="49"/>
        <v>0.16666666666666666</v>
      </c>
      <c r="AO210" s="182">
        <f>'NG T7.2019'!F205</f>
        <v>0</v>
      </c>
      <c r="AP210" s="181">
        <f t="shared" si="50"/>
        <v>9129.8333333333339</v>
      </c>
      <c r="AQ210" s="195" t="s">
        <v>562</v>
      </c>
    </row>
    <row r="211" spans="1:43" ht="15" customHeight="1" x14ac:dyDescent="0.25">
      <c r="A211" s="3">
        <v>116</v>
      </c>
      <c r="B211" s="188" t="s">
        <v>400</v>
      </c>
      <c r="C211" s="114" t="s">
        <v>403</v>
      </c>
      <c r="D211" s="88" t="s">
        <v>404</v>
      </c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>
        <f>1/6*O9</f>
        <v>0.16666666666666666</v>
      </c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170"/>
      <c r="AJ211" s="170"/>
      <c r="AK211" s="72" t="s">
        <v>525</v>
      </c>
      <c r="AL211" s="73">
        <v>11492</v>
      </c>
      <c r="AM211" s="63">
        <f>'Import-T7.2019'!F206</f>
        <v>0</v>
      </c>
      <c r="AN211" s="182">
        <f t="shared" si="49"/>
        <v>0.16666666666666666</v>
      </c>
      <c r="AO211" s="182">
        <f>'NG T7.2019'!F206</f>
        <v>0</v>
      </c>
      <c r="AP211" s="181">
        <f t="shared" si="50"/>
        <v>11491.833333333334</v>
      </c>
      <c r="AQ211" s="195" t="s">
        <v>562</v>
      </c>
    </row>
    <row r="212" spans="1:43" ht="15" customHeight="1" x14ac:dyDescent="0.25">
      <c r="A212" s="3">
        <v>117</v>
      </c>
      <c r="B212" s="188" t="s">
        <v>400</v>
      </c>
      <c r="C212" s="114" t="s">
        <v>405</v>
      </c>
      <c r="D212" s="88" t="s">
        <v>406</v>
      </c>
      <c r="E212" s="170"/>
      <c r="F212" s="170"/>
      <c r="G212" s="170"/>
      <c r="H212" s="170"/>
      <c r="I212" s="170"/>
      <c r="J212" s="170"/>
      <c r="K212" s="170"/>
      <c r="L212" s="170"/>
      <c r="M212" s="170"/>
      <c r="N212" s="170"/>
      <c r="O212" s="170"/>
      <c r="P212" s="170">
        <f>1/6*P9</f>
        <v>0.16666666666666666</v>
      </c>
      <c r="Q212" s="170"/>
      <c r="R212" s="170"/>
      <c r="S212" s="170"/>
      <c r="T212" s="170"/>
      <c r="U212" s="170"/>
      <c r="V212" s="170"/>
      <c r="W212" s="170"/>
      <c r="X212" s="170"/>
      <c r="Y212" s="170"/>
      <c r="Z212" s="170"/>
      <c r="AA212" s="170"/>
      <c r="AB212" s="170"/>
      <c r="AC212" s="170"/>
      <c r="AD212" s="170"/>
      <c r="AE212" s="170"/>
      <c r="AF212" s="170"/>
      <c r="AG212" s="170"/>
      <c r="AH212" s="170"/>
      <c r="AI212" s="170"/>
      <c r="AJ212" s="170"/>
      <c r="AK212" s="72" t="s">
        <v>525</v>
      </c>
      <c r="AL212" s="73">
        <v>8232</v>
      </c>
      <c r="AM212" s="63">
        <f>'Import-T7.2019'!F207</f>
        <v>0</v>
      </c>
      <c r="AN212" s="182">
        <f t="shared" si="49"/>
        <v>0.16666666666666666</v>
      </c>
      <c r="AO212" s="182">
        <f>'NG T7.2019'!F207</f>
        <v>0</v>
      </c>
      <c r="AP212" s="181">
        <f t="shared" si="50"/>
        <v>8231.8333333333339</v>
      </c>
      <c r="AQ212" s="195" t="s">
        <v>562</v>
      </c>
    </row>
    <row r="213" spans="1:43" ht="15" customHeight="1" x14ac:dyDescent="0.25">
      <c r="A213" s="3">
        <v>118</v>
      </c>
      <c r="B213" s="188" t="s">
        <v>400</v>
      </c>
      <c r="C213" s="114" t="s">
        <v>407</v>
      </c>
      <c r="D213" s="88" t="s">
        <v>408</v>
      </c>
      <c r="E213" s="170"/>
      <c r="F213" s="170"/>
      <c r="G213" s="170"/>
      <c r="H213" s="170"/>
      <c r="I213" s="170"/>
      <c r="J213" s="170"/>
      <c r="K213" s="170"/>
      <c r="L213" s="170"/>
      <c r="M213" s="170"/>
      <c r="N213" s="170"/>
      <c r="O213" s="170"/>
      <c r="P213" s="170"/>
      <c r="Q213" s="170">
        <f>1/6*Q9</f>
        <v>0.16666666666666666</v>
      </c>
      <c r="R213" s="170"/>
      <c r="S213" s="170"/>
      <c r="T213" s="170"/>
      <c r="U213" s="170"/>
      <c r="V213" s="170"/>
      <c r="W213" s="170"/>
      <c r="X213" s="170"/>
      <c r="Y213" s="170"/>
      <c r="Z213" s="170"/>
      <c r="AA213" s="170"/>
      <c r="AB213" s="170"/>
      <c r="AC213" s="170"/>
      <c r="AD213" s="170"/>
      <c r="AE213" s="170"/>
      <c r="AF213" s="170"/>
      <c r="AG213" s="170"/>
      <c r="AH213" s="170"/>
      <c r="AI213" s="170"/>
      <c r="AJ213" s="170"/>
      <c r="AK213" s="72" t="s">
        <v>525</v>
      </c>
      <c r="AL213" s="73">
        <v>8332</v>
      </c>
      <c r="AM213" s="63">
        <f>'Import-T7.2019'!F208</f>
        <v>0</v>
      </c>
      <c r="AN213" s="182">
        <f t="shared" si="49"/>
        <v>0.16666666666666666</v>
      </c>
      <c r="AO213" s="182">
        <f>'NG T7.2019'!F208</f>
        <v>0</v>
      </c>
      <c r="AP213" s="181">
        <f t="shared" si="50"/>
        <v>8331.8333333333339</v>
      </c>
      <c r="AQ213" s="195" t="s">
        <v>562</v>
      </c>
    </row>
    <row r="214" spans="1:43" ht="15" customHeight="1" x14ac:dyDescent="0.25">
      <c r="A214" s="3">
        <v>119</v>
      </c>
      <c r="B214" s="188" t="s">
        <v>400</v>
      </c>
      <c r="C214" s="114" t="s">
        <v>409</v>
      </c>
      <c r="D214" s="88" t="s">
        <v>410</v>
      </c>
      <c r="E214" s="170"/>
      <c r="F214" s="170"/>
      <c r="G214" s="170"/>
      <c r="H214" s="170"/>
      <c r="I214" s="170"/>
      <c r="J214" s="170"/>
      <c r="K214" s="170"/>
      <c r="L214" s="170"/>
      <c r="M214" s="170"/>
      <c r="N214" s="170"/>
      <c r="O214" s="170"/>
      <c r="P214" s="170"/>
      <c r="Q214" s="170"/>
      <c r="R214" s="170">
        <f>1/6*R9</f>
        <v>0.16666666666666666</v>
      </c>
      <c r="S214" s="170"/>
      <c r="T214" s="170"/>
      <c r="U214" s="170"/>
      <c r="V214" s="170"/>
      <c r="W214" s="170"/>
      <c r="X214" s="170"/>
      <c r="Y214" s="170"/>
      <c r="Z214" s="170"/>
      <c r="AA214" s="170"/>
      <c r="AB214" s="170"/>
      <c r="AC214" s="170"/>
      <c r="AD214" s="170"/>
      <c r="AE214" s="170"/>
      <c r="AF214" s="170"/>
      <c r="AG214" s="170"/>
      <c r="AH214" s="170"/>
      <c r="AI214" s="170"/>
      <c r="AJ214" s="170"/>
      <c r="AK214" s="72" t="s">
        <v>525</v>
      </c>
      <c r="AL214" s="73"/>
      <c r="AM214" s="63">
        <f>'Import-T7.2019'!F209</f>
        <v>0</v>
      </c>
      <c r="AN214" s="182">
        <f t="shared" si="49"/>
        <v>0.16666666666666666</v>
      </c>
      <c r="AO214" s="182">
        <f>'NG T7.2019'!F209</f>
        <v>0</v>
      </c>
      <c r="AP214" s="181">
        <f t="shared" si="50"/>
        <v>-0.16666666666666666</v>
      </c>
      <c r="AQ214" s="195" t="s">
        <v>562</v>
      </c>
    </row>
    <row r="215" spans="1:43" ht="15" customHeight="1" x14ac:dyDescent="0.25">
      <c r="A215" s="3">
        <v>120</v>
      </c>
      <c r="B215" s="188" t="s">
        <v>411</v>
      </c>
      <c r="C215" s="114" t="s">
        <v>412</v>
      </c>
      <c r="D215" s="88" t="s">
        <v>413</v>
      </c>
      <c r="E215" s="170"/>
      <c r="F215" s="170"/>
      <c r="G215" s="170"/>
      <c r="H215" s="170"/>
      <c r="I215" s="170"/>
      <c r="J215" s="170"/>
      <c r="K215" s="170"/>
      <c r="L215" s="170"/>
      <c r="M215" s="170"/>
      <c r="N215" s="170"/>
      <c r="O215" s="170"/>
      <c r="P215" s="170"/>
      <c r="Q215" s="170"/>
      <c r="R215" s="170"/>
      <c r="S215" s="170"/>
      <c r="T215" s="170"/>
      <c r="U215" s="170"/>
      <c r="V215" s="170"/>
      <c r="W215" s="170"/>
      <c r="X215" s="170">
        <f>1/6*X9</f>
        <v>0.16666666666666666</v>
      </c>
      <c r="Y215" s="170"/>
      <c r="Z215" s="170"/>
      <c r="AA215" s="170"/>
      <c r="AB215" s="170"/>
      <c r="AC215" s="170"/>
      <c r="AD215" s="170"/>
      <c r="AE215" s="170"/>
      <c r="AF215" s="170"/>
      <c r="AG215" s="170"/>
      <c r="AH215" s="170"/>
      <c r="AI215" s="170"/>
      <c r="AJ215" s="170"/>
      <c r="AK215" s="72" t="s">
        <v>525</v>
      </c>
      <c r="AL215" s="73"/>
      <c r="AM215" s="63">
        <f>'Import-T7.2019'!F210</f>
        <v>0</v>
      </c>
      <c r="AN215" s="182">
        <f t="shared" si="49"/>
        <v>0.16666666666666666</v>
      </c>
      <c r="AO215" s="182">
        <f>'NG T7.2019'!F210</f>
        <v>0</v>
      </c>
      <c r="AP215" s="181">
        <f t="shared" si="50"/>
        <v>-0.16666666666666666</v>
      </c>
      <c r="AQ215" s="195" t="s">
        <v>562</v>
      </c>
    </row>
    <row r="216" spans="1:43" ht="15" customHeight="1" x14ac:dyDescent="0.25">
      <c r="A216" s="3">
        <v>121</v>
      </c>
      <c r="B216" s="188" t="s">
        <v>411</v>
      </c>
      <c r="C216" s="114" t="s">
        <v>414</v>
      </c>
      <c r="D216" s="88" t="s">
        <v>415</v>
      </c>
      <c r="E216" s="170"/>
      <c r="F216" s="170"/>
      <c r="G216" s="170"/>
      <c r="H216" s="170"/>
      <c r="I216" s="170"/>
      <c r="J216" s="170"/>
      <c r="K216" s="170"/>
      <c r="L216" s="170"/>
      <c r="M216" s="170"/>
      <c r="N216" s="170"/>
      <c r="O216" s="170"/>
      <c r="P216" s="170"/>
      <c r="Q216" s="170"/>
      <c r="R216" s="170"/>
      <c r="S216" s="170"/>
      <c r="T216" s="170"/>
      <c r="U216" s="170"/>
      <c r="V216" s="170"/>
      <c r="W216" s="170"/>
      <c r="X216" s="170"/>
      <c r="Y216" s="170">
        <f>1/6*Y9</f>
        <v>0.16666666666666666</v>
      </c>
      <c r="Z216" s="170"/>
      <c r="AA216" s="170"/>
      <c r="AB216" s="170"/>
      <c r="AC216" s="170"/>
      <c r="AD216" s="170"/>
      <c r="AE216" s="170"/>
      <c r="AF216" s="170"/>
      <c r="AG216" s="170"/>
      <c r="AH216" s="170"/>
      <c r="AI216" s="170"/>
      <c r="AJ216" s="170"/>
      <c r="AK216" s="72" t="s">
        <v>525</v>
      </c>
      <c r="AL216" s="73"/>
      <c r="AM216" s="63">
        <f>'Import-T7.2019'!F211</f>
        <v>0</v>
      </c>
      <c r="AN216" s="182">
        <f t="shared" si="49"/>
        <v>0.16666666666666666</v>
      </c>
      <c r="AO216" s="182">
        <f>'NG T7.2019'!F211</f>
        <v>0</v>
      </c>
      <c r="AP216" s="181">
        <f t="shared" si="50"/>
        <v>-0.16666666666666666</v>
      </c>
      <c r="AQ216" s="195" t="s">
        <v>562</v>
      </c>
    </row>
    <row r="217" spans="1:43" ht="15" customHeight="1" x14ac:dyDescent="0.25">
      <c r="A217" s="3">
        <v>122</v>
      </c>
      <c r="B217" s="188" t="s">
        <v>411</v>
      </c>
      <c r="C217" s="114" t="s">
        <v>416</v>
      </c>
      <c r="D217" s="88" t="s">
        <v>417</v>
      </c>
      <c r="E217" s="170"/>
      <c r="F217" s="170"/>
      <c r="G217" s="170"/>
      <c r="H217" s="170"/>
      <c r="I217" s="170"/>
      <c r="J217" s="170"/>
      <c r="K217" s="170"/>
      <c r="L217" s="170"/>
      <c r="M217" s="170"/>
      <c r="N217" s="170"/>
      <c r="O217" s="170"/>
      <c r="P217" s="170"/>
      <c r="Q217" s="170"/>
      <c r="R217" s="170"/>
      <c r="S217" s="170"/>
      <c r="T217" s="170"/>
      <c r="U217" s="170"/>
      <c r="V217" s="170"/>
      <c r="W217" s="170"/>
      <c r="X217" s="170"/>
      <c r="Y217" s="170"/>
      <c r="Z217" s="170">
        <f>1/6*Z9</f>
        <v>0.16666666666666666</v>
      </c>
      <c r="AA217" s="170"/>
      <c r="AB217" s="170"/>
      <c r="AC217" s="170"/>
      <c r="AD217" s="170"/>
      <c r="AE217" s="170"/>
      <c r="AF217" s="170"/>
      <c r="AG217" s="170"/>
      <c r="AH217" s="170"/>
      <c r="AI217" s="170"/>
      <c r="AJ217" s="170"/>
      <c r="AK217" s="72" t="s">
        <v>525</v>
      </c>
      <c r="AL217" s="73"/>
      <c r="AM217" s="63">
        <f>'Import-T7.2019'!F212</f>
        <v>0</v>
      </c>
      <c r="AN217" s="182">
        <f t="shared" si="49"/>
        <v>0.16666666666666666</v>
      </c>
      <c r="AO217" s="182">
        <f>'NG T7.2019'!F212</f>
        <v>0</v>
      </c>
      <c r="AP217" s="181">
        <f t="shared" si="50"/>
        <v>-0.16666666666666666</v>
      </c>
      <c r="AQ217" s="195" t="s">
        <v>562</v>
      </c>
    </row>
    <row r="218" spans="1:43" ht="15" customHeight="1" x14ac:dyDescent="0.25">
      <c r="A218" s="3">
        <v>123</v>
      </c>
      <c r="B218" s="188" t="s">
        <v>411</v>
      </c>
      <c r="C218" s="114" t="s">
        <v>418</v>
      </c>
      <c r="D218" s="88" t="s">
        <v>419</v>
      </c>
      <c r="E218" s="170"/>
      <c r="F218" s="170"/>
      <c r="G218" s="170"/>
      <c r="H218" s="170"/>
      <c r="I218" s="170"/>
      <c r="J218" s="170"/>
      <c r="K218" s="170"/>
      <c r="L218" s="170"/>
      <c r="M218" s="170"/>
      <c r="N218" s="170"/>
      <c r="O218" s="170"/>
      <c r="P218" s="170"/>
      <c r="Q218" s="170"/>
      <c r="R218" s="170"/>
      <c r="S218" s="170"/>
      <c r="T218" s="170"/>
      <c r="U218" s="170"/>
      <c r="V218" s="170"/>
      <c r="W218" s="170"/>
      <c r="X218" s="170"/>
      <c r="Y218" s="170"/>
      <c r="Z218" s="170"/>
      <c r="AA218" s="170">
        <f>1/6*AA9</f>
        <v>0.16666666666666666</v>
      </c>
      <c r="AB218" s="170"/>
      <c r="AC218" s="170"/>
      <c r="AD218" s="170"/>
      <c r="AE218" s="170"/>
      <c r="AF218" s="170"/>
      <c r="AG218" s="170"/>
      <c r="AH218" s="170"/>
      <c r="AI218" s="170"/>
      <c r="AJ218" s="170"/>
      <c r="AK218" s="72" t="s">
        <v>525</v>
      </c>
      <c r="AL218" s="73"/>
      <c r="AM218" s="63">
        <f>'Import-T7.2019'!F213</f>
        <v>0</v>
      </c>
      <c r="AN218" s="182">
        <f t="shared" si="49"/>
        <v>0.16666666666666666</v>
      </c>
      <c r="AO218" s="182">
        <f>'NG T7.2019'!F213</f>
        <v>0</v>
      </c>
      <c r="AP218" s="181">
        <f t="shared" si="50"/>
        <v>-0.16666666666666666</v>
      </c>
      <c r="AQ218" s="195" t="s">
        <v>562</v>
      </c>
    </row>
    <row r="219" spans="1:43" ht="15" customHeight="1" x14ac:dyDescent="0.25">
      <c r="A219" s="3">
        <v>124</v>
      </c>
      <c r="B219" s="188" t="s">
        <v>411</v>
      </c>
      <c r="C219" s="114" t="s">
        <v>420</v>
      </c>
      <c r="D219" s="88" t="s">
        <v>421</v>
      </c>
      <c r="E219" s="170"/>
      <c r="F219" s="170"/>
      <c r="G219" s="170"/>
      <c r="H219" s="170"/>
      <c r="I219" s="170"/>
      <c r="J219" s="170"/>
      <c r="K219" s="170"/>
      <c r="L219" s="170"/>
      <c r="M219" s="170"/>
      <c r="N219" s="170"/>
      <c r="O219" s="170"/>
      <c r="P219" s="170"/>
      <c r="Q219" s="170"/>
      <c r="R219" s="170"/>
      <c r="S219" s="170"/>
      <c r="T219" s="170"/>
      <c r="U219" s="170"/>
      <c r="V219" s="170"/>
      <c r="W219" s="170"/>
      <c r="X219" s="170"/>
      <c r="Y219" s="170"/>
      <c r="Z219" s="170"/>
      <c r="AA219" s="170"/>
      <c r="AB219" s="170">
        <f>1/6*AB9</f>
        <v>0.16666666666666666</v>
      </c>
      <c r="AC219" s="170"/>
      <c r="AD219" s="170"/>
      <c r="AE219" s="170"/>
      <c r="AF219" s="170"/>
      <c r="AG219" s="170"/>
      <c r="AH219" s="170"/>
      <c r="AI219" s="170"/>
      <c r="AJ219" s="170"/>
      <c r="AK219" s="72" t="s">
        <v>525</v>
      </c>
      <c r="AL219" s="73"/>
      <c r="AM219" s="63">
        <f>'Import-T7.2019'!F214</f>
        <v>0</v>
      </c>
      <c r="AN219" s="182">
        <f t="shared" si="49"/>
        <v>0.16666666666666666</v>
      </c>
      <c r="AO219" s="182">
        <f>'NG T7.2019'!F214</f>
        <v>0</v>
      </c>
      <c r="AP219" s="181">
        <f t="shared" si="50"/>
        <v>-0.16666666666666666</v>
      </c>
      <c r="AQ219" s="195" t="s">
        <v>562</v>
      </c>
    </row>
    <row r="220" spans="1:43" ht="15" customHeight="1" x14ac:dyDescent="0.25">
      <c r="A220" s="3">
        <v>125</v>
      </c>
      <c r="B220" s="188" t="s">
        <v>411</v>
      </c>
      <c r="C220" s="114" t="s">
        <v>422</v>
      </c>
      <c r="D220" s="88" t="s">
        <v>423</v>
      </c>
      <c r="E220" s="170"/>
      <c r="F220" s="170"/>
      <c r="G220" s="170"/>
      <c r="H220" s="170"/>
      <c r="I220" s="170"/>
      <c r="J220" s="170"/>
      <c r="K220" s="170"/>
      <c r="L220" s="170"/>
      <c r="M220" s="170"/>
      <c r="N220" s="170"/>
      <c r="O220" s="170"/>
      <c r="P220" s="170"/>
      <c r="Q220" s="170"/>
      <c r="R220" s="170"/>
      <c r="S220" s="170"/>
      <c r="T220" s="170"/>
      <c r="U220" s="170"/>
      <c r="V220" s="170"/>
      <c r="W220" s="170"/>
      <c r="X220" s="170"/>
      <c r="Y220" s="170"/>
      <c r="Z220" s="170"/>
      <c r="AA220" s="170"/>
      <c r="AB220" s="170"/>
      <c r="AC220" s="170">
        <f>1/6*AC9</f>
        <v>0.16666666666666666</v>
      </c>
      <c r="AD220" s="170"/>
      <c r="AE220" s="170"/>
      <c r="AF220" s="170"/>
      <c r="AG220" s="170">
        <f>1/6*AG9</f>
        <v>0.16666666666666666</v>
      </c>
      <c r="AH220" s="170"/>
      <c r="AI220" s="170"/>
      <c r="AJ220" s="170"/>
      <c r="AK220" s="72" t="s">
        <v>525</v>
      </c>
      <c r="AL220" s="73"/>
      <c r="AM220" s="63">
        <f>'Import-T7.2019'!F215</f>
        <v>0</v>
      </c>
      <c r="AN220" s="182">
        <f t="shared" si="49"/>
        <v>0.33333333333333331</v>
      </c>
      <c r="AO220" s="182">
        <f>'NG T7.2019'!F215</f>
        <v>0</v>
      </c>
      <c r="AP220" s="181">
        <f t="shared" si="50"/>
        <v>-0.33333333333333331</v>
      </c>
      <c r="AQ220" s="195" t="s">
        <v>562</v>
      </c>
    </row>
    <row r="221" spans="1:43" ht="15" customHeight="1" x14ac:dyDescent="0.25">
      <c r="A221" s="3">
        <v>126</v>
      </c>
      <c r="B221" s="188" t="s">
        <v>411</v>
      </c>
      <c r="C221" s="114" t="s">
        <v>424</v>
      </c>
      <c r="D221" s="88" t="s">
        <v>425</v>
      </c>
      <c r="E221" s="170"/>
      <c r="F221" s="170"/>
      <c r="G221" s="170"/>
      <c r="H221" s="170"/>
      <c r="I221" s="170"/>
      <c r="J221" s="170"/>
      <c r="K221" s="170"/>
      <c r="L221" s="170"/>
      <c r="M221" s="170"/>
      <c r="N221" s="170"/>
      <c r="O221" s="170"/>
      <c r="P221" s="170"/>
      <c r="Q221" s="170"/>
      <c r="R221" s="170"/>
      <c r="S221" s="170"/>
      <c r="T221" s="170"/>
      <c r="U221" s="170"/>
      <c r="V221" s="170"/>
      <c r="W221" s="170"/>
      <c r="X221" s="170"/>
      <c r="Y221" s="170"/>
      <c r="Z221" s="170"/>
      <c r="AA221" s="170"/>
      <c r="AB221" s="170"/>
      <c r="AC221" s="170"/>
      <c r="AD221" s="170">
        <f>1/6*AD9</f>
        <v>0.16666666666666666</v>
      </c>
      <c r="AE221" s="170"/>
      <c r="AF221" s="170"/>
      <c r="AG221" s="170"/>
      <c r="AH221" s="170">
        <f>1/6*AH9</f>
        <v>0.16666666666666666</v>
      </c>
      <c r="AI221" s="170"/>
      <c r="AJ221" s="170"/>
      <c r="AK221" s="72" t="s">
        <v>525</v>
      </c>
      <c r="AL221" s="73"/>
      <c r="AM221" s="63">
        <f>'Import-T7.2019'!F216</f>
        <v>0</v>
      </c>
      <c r="AN221" s="182">
        <f t="shared" si="49"/>
        <v>0.33333333333333331</v>
      </c>
      <c r="AO221" s="182">
        <f>'NG T7.2019'!F216</f>
        <v>0</v>
      </c>
      <c r="AP221" s="181">
        <f t="shared" si="50"/>
        <v>-0.33333333333333331</v>
      </c>
      <c r="AQ221" s="195" t="s">
        <v>562</v>
      </c>
    </row>
    <row r="222" spans="1:43" ht="15" customHeight="1" x14ac:dyDescent="0.25">
      <c r="A222" s="3">
        <v>127</v>
      </c>
      <c r="B222" s="188" t="s">
        <v>411</v>
      </c>
      <c r="C222" s="114" t="s">
        <v>426</v>
      </c>
      <c r="D222" s="88" t="s">
        <v>427</v>
      </c>
      <c r="E222" s="170"/>
      <c r="F222" s="170"/>
      <c r="G222" s="170"/>
      <c r="H222" s="170"/>
      <c r="I222" s="170"/>
      <c r="J222" s="170"/>
      <c r="K222" s="170"/>
      <c r="L222" s="170"/>
      <c r="M222" s="170"/>
      <c r="N222" s="170"/>
      <c r="O222" s="170"/>
      <c r="P222" s="170"/>
      <c r="Q222" s="170"/>
      <c r="R222" s="170"/>
      <c r="S222" s="170"/>
      <c r="T222" s="170"/>
      <c r="U222" s="170"/>
      <c r="V222" s="170"/>
      <c r="W222" s="170"/>
      <c r="X222" s="170"/>
      <c r="Y222" s="170"/>
      <c r="Z222" s="170"/>
      <c r="AA222" s="170"/>
      <c r="AB222" s="170"/>
      <c r="AC222" s="170"/>
      <c r="AD222" s="170"/>
      <c r="AE222" s="170">
        <f>1/6*AE9</f>
        <v>0.16666666666666666</v>
      </c>
      <c r="AF222" s="170"/>
      <c r="AG222" s="170"/>
      <c r="AH222" s="170"/>
      <c r="AI222" s="170">
        <f>1/6*AI9</f>
        <v>0.16666666666666666</v>
      </c>
      <c r="AJ222" s="170"/>
      <c r="AK222" s="72" t="s">
        <v>525</v>
      </c>
      <c r="AL222" s="73"/>
      <c r="AM222" s="63">
        <f>'Import-T7.2019'!F217</f>
        <v>0</v>
      </c>
      <c r="AN222" s="182">
        <f t="shared" si="49"/>
        <v>0.33333333333333331</v>
      </c>
      <c r="AO222" s="182">
        <f>'NG T7.2019'!F217</f>
        <v>0</v>
      </c>
      <c r="AP222" s="181">
        <f t="shared" si="50"/>
        <v>-0.33333333333333331</v>
      </c>
      <c r="AQ222" s="195" t="s">
        <v>562</v>
      </c>
    </row>
    <row r="223" spans="1:43" ht="15" customHeight="1" x14ac:dyDescent="0.25">
      <c r="A223" s="3">
        <v>128</v>
      </c>
      <c r="B223" s="188" t="s">
        <v>411</v>
      </c>
      <c r="C223" s="114" t="s">
        <v>428</v>
      </c>
      <c r="D223" s="88" t="s">
        <v>429</v>
      </c>
      <c r="E223" s="170"/>
      <c r="F223" s="170"/>
      <c r="G223" s="170"/>
      <c r="H223" s="170"/>
      <c r="I223" s="170"/>
      <c r="J223" s="170"/>
      <c r="K223" s="170"/>
      <c r="L223" s="170"/>
      <c r="M223" s="170"/>
      <c r="N223" s="170"/>
      <c r="O223" s="170"/>
      <c r="P223" s="170"/>
      <c r="Q223" s="170"/>
      <c r="R223" s="170"/>
      <c r="S223" s="170"/>
      <c r="T223" s="170"/>
      <c r="U223" s="170"/>
      <c r="V223" s="170"/>
      <c r="W223" s="170"/>
      <c r="X223" s="170"/>
      <c r="Y223" s="170"/>
      <c r="Z223" s="170"/>
      <c r="AA223" s="170"/>
      <c r="AB223" s="170"/>
      <c r="AC223" s="170"/>
      <c r="AD223" s="170"/>
      <c r="AE223" s="170"/>
      <c r="AF223" s="170">
        <f>1/6*AF9</f>
        <v>0.16666666666666666</v>
      </c>
      <c r="AG223" s="170"/>
      <c r="AH223" s="170"/>
      <c r="AI223" s="170"/>
      <c r="AJ223" s="170">
        <f>1/6*AJ9</f>
        <v>0.16666666666666666</v>
      </c>
      <c r="AK223" s="72" t="s">
        <v>525</v>
      </c>
      <c r="AL223" s="73"/>
      <c r="AM223" s="63">
        <f>'Import-T7.2019'!F218</f>
        <v>0</v>
      </c>
      <c r="AN223" s="182">
        <f t="shared" si="49"/>
        <v>0.33333333333333331</v>
      </c>
      <c r="AO223" s="182">
        <f>'NG T7.2019'!F218</f>
        <v>0</v>
      </c>
      <c r="AP223" s="181">
        <f t="shared" si="50"/>
        <v>-0.33333333333333331</v>
      </c>
      <c r="AQ223" s="195" t="s">
        <v>562</v>
      </c>
    </row>
    <row r="224" spans="1:43" ht="15" customHeight="1" x14ac:dyDescent="0.25">
      <c r="A224" s="3">
        <v>129</v>
      </c>
      <c r="B224" s="188" t="s">
        <v>430</v>
      </c>
      <c r="C224" s="122" t="s">
        <v>431</v>
      </c>
      <c r="D224" s="86" t="s">
        <v>432</v>
      </c>
      <c r="E224" s="170">
        <f>1*E9</f>
        <v>1</v>
      </c>
      <c r="F224" s="170"/>
      <c r="G224" s="170"/>
      <c r="H224" s="170"/>
      <c r="I224" s="170"/>
      <c r="J224" s="170"/>
      <c r="K224" s="170"/>
      <c r="L224" s="170"/>
      <c r="M224" s="170"/>
      <c r="N224" s="170"/>
      <c r="O224" s="170"/>
      <c r="P224" s="170"/>
      <c r="Q224" s="170"/>
      <c r="R224" s="170"/>
      <c r="S224" s="170"/>
      <c r="T224" s="170"/>
      <c r="U224" s="170"/>
      <c r="V224" s="170"/>
      <c r="W224" s="170"/>
      <c r="X224" s="170"/>
      <c r="Y224" s="170"/>
      <c r="Z224" s="170"/>
      <c r="AA224" s="170"/>
      <c r="AB224" s="170"/>
      <c r="AC224" s="170"/>
      <c r="AD224" s="170"/>
      <c r="AE224" s="170"/>
      <c r="AF224" s="170"/>
      <c r="AG224" s="170"/>
      <c r="AH224" s="170"/>
      <c r="AI224" s="170"/>
      <c r="AJ224" s="170"/>
      <c r="AK224" s="72" t="s">
        <v>525</v>
      </c>
      <c r="AL224" s="73">
        <v>33940</v>
      </c>
      <c r="AM224" s="63">
        <f>'Import-T7.2019'!F219</f>
        <v>0</v>
      </c>
      <c r="AN224" s="182">
        <f t="shared" ref="AN224:AN274" si="60">SUM(E224:AJ224)</f>
        <v>1</v>
      </c>
      <c r="AO224" s="182">
        <f>'NG T7.2019'!F219</f>
        <v>0</v>
      </c>
      <c r="AP224" s="181">
        <f t="shared" ref="AP224:AP274" si="61">AL224+AM224-AN224-AO224</f>
        <v>33939</v>
      </c>
      <c r="AQ224" s="194" t="s">
        <v>563</v>
      </c>
    </row>
    <row r="225" spans="1:43" ht="15" customHeight="1" x14ac:dyDescent="0.25">
      <c r="A225" s="3">
        <v>130</v>
      </c>
      <c r="B225" s="188" t="s">
        <v>430</v>
      </c>
      <c r="C225" s="122" t="s">
        <v>433</v>
      </c>
      <c r="D225" s="86" t="s">
        <v>434</v>
      </c>
      <c r="E225" s="170"/>
      <c r="F225" s="170">
        <f>1*F9</f>
        <v>1</v>
      </c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70"/>
      <c r="T225" s="170"/>
      <c r="U225" s="170"/>
      <c r="V225" s="170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170"/>
      <c r="AK225" s="72" t="s">
        <v>525</v>
      </c>
      <c r="AL225" s="73">
        <v>15300</v>
      </c>
      <c r="AM225" s="63">
        <f>'Import-T7.2019'!F220</f>
        <v>0</v>
      </c>
      <c r="AN225" s="182">
        <f t="shared" si="60"/>
        <v>1</v>
      </c>
      <c r="AO225" s="182">
        <f>'NG T7.2019'!F220</f>
        <v>0</v>
      </c>
      <c r="AP225" s="181">
        <f t="shared" si="61"/>
        <v>15299</v>
      </c>
      <c r="AQ225" s="194" t="s">
        <v>563</v>
      </c>
    </row>
    <row r="226" spans="1:43" ht="15" customHeight="1" x14ac:dyDescent="0.25">
      <c r="A226" s="3">
        <v>131</v>
      </c>
      <c r="B226" s="188" t="s">
        <v>430</v>
      </c>
      <c r="C226" s="122" t="s">
        <v>435</v>
      </c>
      <c r="D226" s="86" t="s">
        <v>436</v>
      </c>
      <c r="E226" s="170"/>
      <c r="F226" s="170"/>
      <c r="G226" s="170">
        <f>1*G9</f>
        <v>1</v>
      </c>
      <c r="H226" s="170"/>
      <c r="I226" s="170"/>
      <c r="J226" s="170"/>
      <c r="K226" s="170"/>
      <c r="L226" s="170"/>
      <c r="M226" s="170"/>
      <c r="N226" s="170"/>
      <c r="O226" s="170"/>
      <c r="P226" s="170"/>
      <c r="Q226" s="170"/>
      <c r="R226" s="170"/>
      <c r="S226" s="170"/>
      <c r="T226" s="170"/>
      <c r="U226" s="170"/>
      <c r="V226" s="170"/>
      <c r="W226" s="170"/>
      <c r="X226" s="170"/>
      <c r="Y226" s="170"/>
      <c r="Z226" s="170"/>
      <c r="AA226" s="170"/>
      <c r="AB226" s="170"/>
      <c r="AC226" s="170"/>
      <c r="AD226" s="170"/>
      <c r="AE226" s="170"/>
      <c r="AF226" s="170"/>
      <c r="AG226" s="170"/>
      <c r="AH226" s="170"/>
      <c r="AI226" s="170"/>
      <c r="AJ226" s="170"/>
      <c r="AK226" s="72" t="s">
        <v>525</v>
      </c>
      <c r="AL226" s="73">
        <v>7700</v>
      </c>
      <c r="AM226" s="63">
        <f>'Import-T7.2019'!F221</f>
        <v>0</v>
      </c>
      <c r="AN226" s="182">
        <f t="shared" si="60"/>
        <v>1</v>
      </c>
      <c r="AO226" s="182">
        <f>'NG T7.2019'!F221</f>
        <v>0</v>
      </c>
      <c r="AP226" s="181">
        <f t="shared" si="61"/>
        <v>7699</v>
      </c>
      <c r="AQ226" s="194" t="s">
        <v>563</v>
      </c>
    </row>
    <row r="227" spans="1:43" ht="15" customHeight="1" x14ac:dyDescent="0.25">
      <c r="A227" s="3">
        <v>132</v>
      </c>
      <c r="B227" s="188" t="s">
        <v>430</v>
      </c>
      <c r="C227" s="122" t="s">
        <v>437</v>
      </c>
      <c r="D227" s="86" t="s">
        <v>438</v>
      </c>
      <c r="E227" s="170"/>
      <c r="F227" s="170"/>
      <c r="G227" s="170"/>
      <c r="H227" s="170">
        <f>1*H9</f>
        <v>1</v>
      </c>
      <c r="I227" s="170"/>
      <c r="J227" s="170"/>
      <c r="K227" s="170"/>
      <c r="L227" s="170"/>
      <c r="M227" s="170"/>
      <c r="N227" s="170"/>
      <c r="O227" s="170"/>
      <c r="P227" s="170"/>
      <c r="Q227" s="170"/>
      <c r="R227" s="170"/>
      <c r="S227" s="170"/>
      <c r="T227" s="170"/>
      <c r="U227" s="170"/>
      <c r="V227" s="170"/>
      <c r="W227" s="170"/>
      <c r="X227" s="170"/>
      <c r="Y227" s="170"/>
      <c r="Z227" s="170"/>
      <c r="AA227" s="170"/>
      <c r="AB227" s="170"/>
      <c r="AC227" s="170"/>
      <c r="AD227" s="170"/>
      <c r="AE227" s="170"/>
      <c r="AF227" s="170"/>
      <c r="AG227" s="170"/>
      <c r="AH227" s="170"/>
      <c r="AI227" s="170"/>
      <c r="AJ227" s="170"/>
      <c r="AK227" s="72" t="s">
        <v>525</v>
      </c>
      <c r="AL227" s="73">
        <v>4500</v>
      </c>
      <c r="AM227" s="63">
        <f>'Import-T7.2019'!F222</f>
        <v>0</v>
      </c>
      <c r="AN227" s="182">
        <f t="shared" si="60"/>
        <v>1</v>
      </c>
      <c r="AO227" s="182">
        <f>'NG T7.2019'!F222</f>
        <v>0</v>
      </c>
      <c r="AP227" s="181">
        <f t="shared" si="61"/>
        <v>4499</v>
      </c>
      <c r="AQ227" s="194" t="s">
        <v>563</v>
      </c>
    </row>
    <row r="228" spans="1:43" ht="15" customHeight="1" x14ac:dyDescent="0.25">
      <c r="A228" s="3">
        <v>133</v>
      </c>
      <c r="B228" s="188" t="s">
        <v>430</v>
      </c>
      <c r="C228" s="122" t="s">
        <v>439</v>
      </c>
      <c r="D228" s="86" t="s">
        <v>440</v>
      </c>
      <c r="E228" s="170"/>
      <c r="F228" s="170"/>
      <c r="G228" s="170"/>
      <c r="H228" s="170"/>
      <c r="I228" s="170">
        <f>1*I9</f>
        <v>1</v>
      </c>
      <c r="J228" s="170"/>
      <c r="K228" s="170"/>
      <c r="L228" s="170"/>
      <c r="M228" s="170"/>
      <c r="N228" s="170"/>
      <c r="O228" s="170"/>
      <c r="P228" s="170"/>
      <c r="Q228" s="170"/>
      <c r="R228" s="170"/>
      <c r="S228" s="170"/>
      <c r="T228" s="170"/>
      <c r="U228" s="170"/>
      <c r="V228" s="170"/>
      <c r="W228" s="170"/>
      <c r="X228" s="170"/>
      <c r="Y228" s="170"/>
      <c r="Z228" s="170"/>
      <c r="AA228" s="170"/>
      <c r="AB228" s="170"/>
      <c r="AC228" s="170"/>
      <c r="AD228" s="170"/>
      <c r="AE228" s="170"/>
      <c r="AF228" s="170"/>
      <c r="AG228" s="170"/>
      <c r="AH228" s="170"/>
      <c r="AI228" s="170"/>
      <c r="AJ228" s="170"/>
      <c r="AK228" s="72" t="s">
        <v>525</v>
      </c>
      <c r="AL228" s="73"/>
      <c r="AM228" s="63">
        <f>'Import-T7.2019'!F223</f>
        <v>0</v>
      </c>
      <c r="AN228" s="182">
        <f t="shared" si="60"/>
        <v>1</v>
      </c>
      <c r="AO228" s="182">
        <f>'NG T7.2019'!F223</f>
        <v>0</v>
      </c>
      <c r="AP228" s="181">
        <f t="shared" si="61"/>
        <v>-1</v>
      </c>
      <c r="AQ228" s="194" t="s">
        <v>563</v>
      </c>
    </row>
    <row r="229" spans="1:43" ht="15" customHeight="1" x14ac:dyDescent="0.25">
      <c r="A229" s="3">
        <v>134</v>
      </c>
      <c r="B229" s="188" t="s">
        <v>430</v>
      </c>
      <c r="C229" s="122" t="s">
        <v>441</v>
      </c>
      <c r="D229" s="86" t="s">
        <v>442</v>
      </c>
      <c r="E229" s="170"/>
      <c r="F229" s="170"/>
      <c r="G229" s="170"/>
      <c r="H229" s="170"/>
      <c r="I229" s="170"/>
      <c r="J229" s="170">
        <f>1*J9</f>
        <v>1</v>
      </c>
      <c r="K229" s="170"/>
      <c r="L229" s="170"/>
      <c r="M229" s="170"/>
      <c r="N229" s="170"/>
      <c r="O229" s="170"/>
      <c r="P229" s="170"/>
      <c r="Q229" s="170"/>
      <c r="R229" s="170"/>
      <c r="S229" s="170"/>
      <c r="T229" s="170"/>
      <c r="U229" s="170"/>
      <c r="V229" s="170"/>
      <c r="W229" s="170"/>
      <c r="X229" s="170"/>
      <c r="Y229" s="170"/>
      <c r="Z229" s="170"/>
      <c r="AA229" s="170"/>
      <c r="AB229" s="170"/>
      <c r="AC229" s="170"/>
      <c r="AD229" s="170"/>
      <c r="AE229" s="170"/>
      <c r="AF229" s="170"/>
      <c r="AG229" s="170"/>
      <c r="AH229" s="170"/>
      <c r="AI229" s="170"/>
      <c r="AJ229" s="170"/>
      <c r="AK229" s="72" t="s">
        <v>525</v>
      </c>
      <c r="AL229" s="73">
        <v>900</v>
      </c>
      <c r="AM229" s="63">
        <f>'Import-T7.2019'!F224</f>
        <v>0</v>
      </c>
      <c r="AN229" s="182">
        <f t="shared" si="60"/>
        <v>1</v>
      </c>
      <c r="AO229" s="182">
        <f>'NG T7.2019'!F224</f>
        <v>0</v>
      </c>
      <c r="AP229" s="181">
        <f t="shared" si="61"/>
        <v>899</v>
      </c>
      <c r="AQ229" s="194" t="s">
        <v>563</v>
      </c>
    </row>
    <row r="230" spans="1:43" ht="15" customHeight="1" x14ac:dyDescent="0.25">
      <c r="A230" s="3">
        <v>135</v>
      </c>
      <c r="B230" s="188" t="s">
        <v>430</v>
      </c>
      <c r="C230" s="122" t="s">
        <v>443</v>
      </c>
      <c r="D230" s="86" t="s">
        <v>444</v>
      </c>
      <c r="E230" s="170"/>
      <c r="F230" s="170"/>
      <c r="G230" s="170"/>
      <c r="H230" s="170"/>
      <c r="I230" s="170"/>
      <c r="J230" s="170"/>
      <c r="K230" s="170">
        <f>1*K9</f>
        <v>1</v>
      </c>
      <c r="L230" s="170"/>
      <c r="M230" s="170"/>
      <c r="N230" s="170"/>
      <c r="O230" s="170"/>
      <c r="P230" s="170"/>
      <c r="Q230" s="170"/>
      <c r="R230" s="170"/>
      <c r="S230" s="170"/>
      <c r="T230" s="170"/>
      <c r="U230" s="170"/>
      <c r="V230" s="170"/>
      <c r="W230" s="170"/>
      <c r="X230" s="170"/>
      <c r="Y230" s="170"/>
      <c r="Z230" s="170"/>
      <c r="AA230" s="170"/>
      <c r="AB230" s="170"/>
      <c r="AC230" s="170"/>
      <c r="AD230" s="170"/>
      <c r="AE230" s="170"/>
      <c r="AF230" s="170"/>
      <c r="AG230" s="170"/>
      <c r="AH230" s="170"/>
      <c r="AI230" s="170"/>
      <c r="AJ230" s="170"/>
      <c r="AK230" s="72" t="s">
        <v>525</v>
      </c>
      <c r="AL230" s="73">
        <v>1900</v>
      </c>
      <c r="AM230" s="63">
        <f>'Import-T7.2019'!F225</f>
        <v>0</v>
      </c>
      <c r="AN230" s="182">
        <f t="shared" si="60"/>
        <v>1</v>
      </c>
      <c r="AO230" s="182">
        <f>'NG T7.2019'!F225</f>
        <v>0</v>
      </c>
      <c r="AP230" s="181">
        <f t="shared" si="61"/>
        <v>1899</v>
      </c>
      <c r="AQ230" s="194" t="s">
        <v>563</v>
      </c>
    </row>
    <row r="231" spans="1:43" ht="15" customHeight="1" x14ac:dyDescent="0.25">
      <c r="A231" s="3">
        <v>136</v>
      </c>
      <c r="B231" s="188" t="s">
        <v>430</v>
      </c>
      <c r="C231" s="122" t="s">
        <v>445</v>
      </c>
      <c r="D231" s="86" t="s">
        <v>446</v>
      </c>
      <c r="E231" s="170"/>
      <c r="F231" s="170"/>
      <c r="G231" s="170"/>
      <c r="H231" s="170"/>
      <c r="I231" s="170"/>
      <c r="J231" s="170"/>
      <c r="K231" s="170"/>
      <c r="L231" s="170">
        <f>1*L9</f>
        <v>1</v>
      </c>
      <c r="M231" s="170"/>
      <c r="N231" s="170"/>
      <c r="O231" s="170"/>
      <c r="P231" s="170"/>
      <c r="Q231" s="170"/>
      <c r="R231" s="170"/>
      <c r="S231" s="170"/>
      <c r="T231" s="170"/>
      <c r="U231" s="170"/>
      <c r="V231" s="170"/>
      <c r="W231" s="170"/>
      <c r="X231" s="170"/>
      <c r="Y231" s="170"/>
      <c r="Z231" s="170"/>
      <c r="AA231" s="170"/>
      <c r="AB231" s="170"/>
      <c r="AC231" s="170"/>
      <c r="AD231" s="170"/>
      <c r="AE231" s="170"/>
      <c r="AF231" s="170"/>
      <c r="AG231" s="170"/>
      <c r="AH231" s="170"/>
      <c r="AI231" s="170"/>
      <c r="AJ231" s="170"/>
      <c r="AK231" s="72" t="s">
        <v>525</v>
      </c>
      <c r="AL231" s="73">
        <v>73187</v>
      </c>
      <c r="AM231" s="63">
        <f>'Import-T7.2019'!F226</f>
        <v>0</v>
      </c>
      <c r="AN231" s="182">
        <f t="shared" si="60"/>
        <v>1</v>
      </c>
      <c r="AO231" s="182">
        <f>'NG T7.2019'!F226</f>
        <v>0</v>
      </c>
      <c r="AP231" s="181">
        <f t="shared" si="61"/>
        <v>73186</v>
      </c>
      <c r="AQ231" s="194" t="s">
        <v>563</v>
      </c>
    </row>
    <row r="232" spans="1:43" ht="15" customHeight="1" x14ac:dyDescent="0.25">
      <c r="A232" s="3">
        <v>137</v>
      </c>
      <c r="B232" s="188" t="s">
        <v>430</v>
      </c>
      <c r="C232" s="122" t="s">
        <v>447</v>
      </c>
      <c r="D232" s="86" t="s">
        <v>448</v>
      </c>
      <c r="E232" s="170"/>
      <c r="F232" s="170"/>
      <c r="G232" s="170"/>
      <c r="H232" s="170"/>
      <c r="I232" s="170"/>
      <c r="J232" s="170"/>
      <c r="K232" s="170"/>
      <c r="L232" s="170"/>
      <c r="M232" s="170">
        <f>1*M9</f>
        <v>1</v>
      </c>
      <c r="N232" s="170"/>
      <c r="O232" s="170"/>
      <c r="P232" s="170"/>
      <c r="Q232" s="170"/>
      <c r="R232" s="170"/>
      <c r="S232" s="170"/>
      <c r="T232" s="170"/>
      <c r="U232" s="170"/>
      <c r="V232" s="170"/>
      <c r="W232" s="170"/>
      <c r="X232" s="170"/>
      <c r="Y232" s="170"/>
      <c r="Z232" s="170"/>
      <c r="AA232" s="170"/>
      <c r="AB232" s="170"/>
      <c r="AC232" s="170"/>
      <c r="AD232" s="170"/>
      <c r="AE232" s="170"/>
      <c r="AF232" s="170"/>
      <c r="AG232" s="170"/>
      <c r="AH232" s="170"/>
      <c r="AI232" s="170"/>
      <c r="AJ232" s="170"/>
      <c r="AK232" s="72" t="s">
        <v>525</v>
      </c>
      <c r="AL232" s="73">
        <v>29300</v>
      </c>
      <c r="AM232" s="63">
        <f>'Import-T7.2019'!F227</f>
        <v>0</v>
      </c>
      <c r="AN232" s="182">
        <f t="shared" si="60"/>
        <v>1</v>
      </c>
      <c r="AO232" s="182">
        <f>'NG T7.2019'!F227</f>
        <v>0</v>
      </c>
      <c r="AP232" s="181">
        <f t="shared" si="61"/>
        <v>29299</v>
      </c>
      <c r="AQ232" s="194" t="s">
        <v>563</v>
      </c>
    </row>
    <row r="233" spans="1:43" ht="15" customHeight="1" x14ac:dyDescent="0.25">
      <c r="A233" s="3">
        <v>138</v>
      </c>
      <c r="B233" s="188" t="s">
        <v>449</v>
      </c>
      <c r="C233" s="122" t="s">
        <v>450</v>
      </c>
      <c r="D233" s="86" t="s">
        <v>451</v>
      </c>
      <c r="E233" s="170"/>
      <c r="F233" s="170"/>
      <c r="G233" s="170"/>
      <c r="H233" s="170"/>
      <c r="I233" s="170"/>
      <c r="J233" s="170"/>
      <c r="K233" s="170"/>
      <c r="L233" s="170"/>
      <c r="M233" s="170"/>
      <c r="N233" s="170">
        <f>1*N9</f>
        <v>1</v>
      </c>
      <c r="O233" s="170"/>
      <c r="P233" s="170"/>
      <c r="Q233" s="170"/>
      <c r="R233" s="170"/>
      <c r="S233" s="170"/>
      <c r="T233" s="170"/>
      <c r="U233" s="170"/>
      <c r="V233" s="170"/>
      <c r="W233" s="170"/>
      <c r="X233" s="170"/>
      <c r="Y233" s="170"/>
      <c r="Z233" s="170"/>
      <c r="AA233" s="170"/>
      <c r="AB233" s="170"/>
      <c r="AC233" s="170"/>
      <c r="AD233" s="170"/>
      <c r="AE233" s="170"/>
      <c r="AF233" s="170"/>
      <c r="AG233" s="170"/>
      <c r="AH233" s="170"/>
      <c r="AI233" s="170"/>
      <c r="AJ233" s="170"/>
      <c r="AK233" s="72" t="s">
        <v>525</v>
      </c>
      <c r="AL233" s="73">
        <v>55600</v>
      </c>
      <c r="AM233" s="63">
        <f>'Import-T7.2019'!F228</f>
        <v>0</v>
      </c>
      <c r="AN233" s="182">
        <f t="shared" si="60"/>
        <v>1</v>
      </c>
      <c r="AO233" s="182">
        <f>'NG T7.2019'!F228</f>
        <v>0</v>
      </c>
      <c r="AP233" s="181">
        <f t="shared" si="61"/>
        <v>55599</v>
      </c>
      <c r="AQ233" s="194" t="s">
        <v>563</v>
      </c>
    </row>
    <row r="234" spans="1:43" ht="15" customHeight="1" x14ac:dyDescent="0.25">
      <c r="A234" s="3">
        <v>139</v>
      </c>
      <c r="B234" s="188" t="s">
        <v>449</v>
      </c>
      <c r="C234" s="122" t="s">
        <v>452</v>
      </c>
      <c r="D234" s="86" t="s">
        <v>453</v>
      </c>
      <c r="E234" s="170"/>
      <c r="F234" s="170"/>
      <c r="G234" s="170"/>
      <c r="H234" s="170"/>
      <c r="I234" s="170"/>
      <c r="J234" s="170"/>
      <c r="K234" s="170"/>
      <c r="L234" s="170"/>
      <c r="M234" s="170"/>
      <c r="N234" s="170"/>
      <c r="O234" s="170">
        <f>1*O9</f>
        <v>1</v>
      </c>
      <c r="P234" s="170"/>
      <c r="Q234" s="170"/>
      <c r="R234" s="170"/>
      <c r="S234" s="170"/>
      <c r="T234" s="170"/>
      <c r="U234" s="170"/>
      <c r="V234" s="170"/>
      <c r="W234" s="170"/>
      <c r="X234" s="170"/>
      <c r="Y234" s="170"/>
      <c r="Z234" s="170"/>
      <c r="AA234" s="170"/>
      <c r="AB234" s="170"/>
      <c r="AC234" s="170"/>
      <c r="AD234" s="170"/>
      <c r="AE234" s="170"/>
      <c r="AF234" s="170"/>
      <c r="AG234" s="170"/>
      <c r="AH234" s="170"/>
      <c r="AI234" s="170"/>
      <c r="AJ234" s="170"/>
      <c r="AK234" s="72" t="s">
        <v>525</v>
      </c>
      <c r="AL234" s="73">
        <v>65950</v>
      </c>
      <c r="AM234" s="63">
        <f>'Import-T7.2019'!F229</f>
        <v>0</v>
      </c>
      <c r="AN234" s="182">
        <f t="shared" si="60"/>
        <v>1</v>
      </c>
      <c r="AO234" s="182">
        <f>'NG T7.2019'!F229</f>
        <v>0</v>
      </c>
      <c r="AP234" s="181">
        <f t="shared" si="61"/>
        <v>65949</v>
      </c>
      <c r="AQ234" s="194" t="s">
        <v>563</v>
      </c>
    </row>
    <row r="235" spans="1:43" ht="15" customHeight="1" x14ac:dyDescent="0.25">
      <c r="A235" s="3">
        <v>140</v>
      </c>
      <c r="B235" s="188" t="s">
        <v>449</v>
      </c>
      <c r="C235" s="122" t="s">
        <v>454</v>
      </c>
      <c r="D235" s="86" t="s">
        <v>455</v>
      </c>
      <c r="E235" s="170"/>
      <c r="F235" s="170"/>
      <c r="G235" s="170"/>
      <c r="H235" s="170"/>
      <c r="I235" s="170"/>
      <c r="J235" s="170"/>
      <c r="K235" s="170"/>
      <c r="L235" s="170"/>
      <c r="M235" s="170"/>
      <c r="N235" s="170"/>
      <c r="O235" s="170"/>
      <c r="P235" s="170">
        <f>1*P9</f>
        <v>1</v>
      </c>
      <c r="Q235" s="170"/>
      <c r="R235" s="170"/>
      <c r="S235" s="170"/>
      <c r="T235" s="170"/>
      <c r="U235" s="170"/>
      <c r="V235" s="170"/>
      <c r="W235" s="170"/>
      <c r="X235" s="170"/>
      <c r="Y235" s="170"/>
      <c r="Z235" s="170"/>
      <c r="AA235" s="170"/>
      <c r="AB235" s="170"/>
      <c r="AC235" s="170"/>
      <c r="AD235" s="170"/>
      <c r="AE235" s="170"/>
      <c r="AF235" s="170"/>
      <c r="AG235" s="170"/>
      <c r="AH235" s="170"/>
      <c r="AI235" s="170"/>
      <c r="AJ235" s="170"/>
      <c r="AK235" s="72" t="s">
        <v>525</v>
      </c>
      <c r="AL235" s="73">
        <v>48450</v>
      </c>
      <c r="AM235" s="63">
        <f>'Import-T7.2019'!F230</f>
        <v>0</v>
      </c>
      <c r="AN235" s="182">
        <f t="shared" si="60"/>
        <v>1</v>
      </c>
      <c r="AO235" s="182">
        <f>'NG T7.2019'!F230</f>
        <v>0</v>
      </c>
      <c r="AP235" s="181">
        <f t="shared" si="61"/>
        <v>48449</v>
      </c>
      <c r="AQ235" s="194" t="s">
        <v>563</v>
      </c>
    </row>
    <row r="236" spans="1:43" ht="15" customHeight="1" x14ac:dyDescent="0.25">
      <c r="A236" s="3">
        <v>141</v>
      </c>
      <c r="B236" s="188" t="s">
        <v>449</v>
      </c>
      <c r="C236" s="122" t="s">
        <v>456</v>
      </c>
      <c r="D236" s="86" t="s">
        <v>457</v>
      </c>
      <c r="E236" s="170"/>
      <c r="F236" s="170"/>
      <c r="G236" s="170"/>
      <c r="H236" s="170"/>
      <c r="I236" s="170"/>
      <c r="J236" s="170"/>
      <c r="K236" s="170"/>
      <c r="L236" s="170"/>
      <c r="M236" s="170"/>
      <c r="N236" s="170"/>
      <c r="O236" s="170"/>
      <c r="P236" s="170"/>
      <c r="Q236" s="170">
        <f>1*Q9</f>
        <v>1</v>
      </c>
      <c r="R236" s="170"/>
      <c r="S236" s="170"/>
      <c r="T236" s="170"/>
      <c r="U236" s="170"/>
      <c r="V236" s="170"/>
      <c r="W236" s="170"/>
      <c r="X236" s="170"/>
      <c r="Y236" s="170"/>
      <c r="Z236" s="170"/>
      <c r="AA236" s="170"/>
      <c r="AB236" s="170"/>
      <c r="AC236" s="170"/>
      <c r="AD236" s="170"/>
      <c r="AE236" s="170"/>
      <c r="AF236" s="170"/>
      <c r="AG236" s="170"/>
      <c r="AH236" s="170"/>
      <c r="AI236" s="170"/>
      <c r="AJ236" s="170"/>
      <c r="AK236" s="72" t="s">
        <v>525</v>
      </c>
      <c r="AL236" s="73">
        <v>48450</v>
      </c>
      <c r="AM236" s="63">
        <f>'Import-T7.2019'!F231</f>
        <v>0</v>
      </c>
      <c r="AN236" s="182">
        <f t="shared" si="60"/>
        <v>1</v>
      </c>
      <c r="AO236" s="182">
        <f>'NG T7.2019'!F231</f>
        <v>0</v>
      </c>
      <c r="AP236" s="181">
        <f t="shared" si="61"/>
        <v>48449</v>
      </c>
      <c r="AQ236" s="194" t="s">
        <v>563</v>
      </c>
    </row>
    <row r="237" spans="1:43" ht="15" customHeight="1" x14ac:dyDescent="0.25">
      <c r="A237" s="3">
        <v>142</v>
      </c>
      <c r="B237" s="188" t="s">
        <v>449</v>
      </c>
      <c r="C237" s="122" t="s">
        <v>458</v>
      </c>
      <c r="D237" s="86" t="s">
        <v>459</v>
      </c>
      <c r="E237" s="170"/>
      <c r="F237" s="170"/>
      <c r="G237" s="170"/>
      <c r="H237" s="170"/>
      <c r="I237" s="170"/>
      <c r="J237" s="170"/>
      <c r="K237" s="170"/>
      <c r="L237" s="170"/>
      <c r="M237" s="170"/>
      <c r="N237" s="170"/>
      <c r="O237" s="170"/>
      <c r="P237" s="170"/>
      <c r="Q237" s="170"/>
      <c r="R237" s="170">
        <f>1*R9</f>
        <v>1</v>
      </c>
      <c r="S237" s="170"/>
      <c r="T237" s="170"/>
      <c r="U237" s="170"/>
      <c r="V237" s="170"/>
      <c r="W237" s="170"/>
      <c r="X237" s="170"/>
      <c r="Y237" s="170"/>
      <c r="Z237" s="170"/>
      <c r="AA237" s="170"/>
      <c r="AB237" s="170"/>
      <c r="AC237" s="170"/>
      <c r="AD237" s="170"/>
      <c r="AE237" s="170"/>
      <c r="AF237" s="170"/>
      <c r="AG237" s="170"/>
      <c r="AH237" s="170"/>
      <c r="AI237" s="170"/>
      <c r="AJ237" s="170"/>
      <c r="AK237" s="72" t="s">
        <v>525</v>
      </c>
      <c r="AL237" s="73"/>
      <c r="AM237" s="63">
        <f>'Import-T7.2019'!F232</f>
        <v>0</v>
      </c>
      <c r="AN237" s="182">
        <f t="shared" si="60"/>
        <v>1</v>
      </c>
      <c r="AO237" s="182">
        <f>'NG T7.2019'!F232</f>
        <v>0</v>
      </c>
      <c r="AP237" s="181">
        <f t="shared" si="61"/>
        <v>-1</v>
      </c>
      <c r="AQ237" s="194" t="s">
        <v>563</v>
      </c>
    </row>
    <row r="238" spans="1:43" ht="15" customHeight="1" x14ac:dyDescent="0.25">
      <c r="A238" s="3">
        <v>143</v>
      </c>
      <c r="B238" s="188" t="s">
        <v>460</v>
      </c>
      <c r="C238" s="122" t="s">
        <v>461</v>
      </c>
      <c r="D238" s="86" t="s">
        <v>462</v>
      </c>
      <c r="E238" s="170"/>
      <c r="F238" s="170"/>
      <c r="G238" s="170"/>
      <c r="H238" s="170"/>
      <c r="I238" s="170"/>
      <c r="J238" s="170"/>
      <c r="K238" s="170"/>
      <c r="L238" s="170"/>
      <c r="M238" s="170"/>
      <c r="N238" s="170"/>
      <c r="O238" s="170"/>
      <c r="P238" s="170"/>
      <c r="Q238" s="170"/>
      <c r="R238" s="170"/>
      <c r="S238" s="170">
        <f>1*S9</f>
        <v>1</v>
      </c>
      <c r="T238" s="170"/>
      <c r="U238" s="170"/>
      <c r="V238" s="170"/>
      <c r="W238" s="170"/>
      <c r="X238" s="170"/>
      <c r="Y238" s="170"/>
      <c r="Z238" s="170"/>
      <c r="AA238" s="170"/>
      <c r="AB238" s="170"/>
      <c r="AC238" s="170"/>
      <c r="AD238" s="170"/>
      <c r="AE238" s="170"/>
      <c r="AF238" s="170"/>
      <c r="AG238" s="170"/>
      <c r="AH238" s="170"/>
      <c r="AI238" s="170"/>
      <c r="AJ238" s="170"/>
      <c r="AK238" s="72" t="s">
        <v>525</v>
      </c>
      <c r="AL238" s="73"/>
      <c r="AM238" s="63">
        <f>'Import-T7.2019'!F233</f>
        <v>0</v>
      </c>
      <c r="AN238" s="182">
        <f t="shared" si="60"/>
        <v>1</v>
      </c>
      <c r="AO238" s="182">
        <f>'NG T7.2019'!F233</f>
        <v>0</v>
      </c>
      <c r="AP238" s="181">
        <f t="shared" si="61"/>
        <v>-1</v>
      </c>
      <c r="AQ238" s="194" t="s">
        <v>563</v>
      </c>
    </row>
    <row r="239" spans="1:43" ht="15" customHeight="1" x14ac:dyDescent="0.25">
      <c r="A239" s="3">
        <v>144</v>
      </c>
      <c r="B239" s="188" t="s">
        <v>460</v>
      </c>
      <c r="C239" s="122" t="s">
        <v>463</v>
      </c>
      <c r="D239" s="86" t="s">
        <v>464</v>
      </c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>
        <f>1*T9</f>
        <v>1</v>
      </c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170"/>
      <c r="AK239" s="72" t="s">
        <v>525</v>
      </c>
      <c r="AL239" s="73"/>
      <c r="AM239" s="63">
        <f>'Import-T7.2019'!F234</f>
        <v>0</v>
      </c>
      <c r="AN239" s="182">
        <f t="shared" si="60"/>
        <v>1</v>
      </c>
      <c r="AO239" s="182">
        <f>'NG T7.2019'!F234</f>
        <v>0</v>
      </c>
      <c r="AP239" s="181">
        <f t="shared" si="61"/>
        <v>-1</v>
      </c>
      <c r="AQ239" s="194" t="s">
        <v>563</v>
      </c>
    </row>
    <row r="240" spans="1:43" ht="15" customHeight="1" x14ac:dyDescent="0.25">
      <c r="A240" s="3">
        <v>145</v>
      </c>
      <c r="B240" s="188" t="s">
        <v>460</v>
      </c>
      <c r="C240" s="122" t="s">
        <v>465</v>
      </c>
      <c r="D240" s="86" t="s">
        <v>466</v>
      </c>
      <c r="E240" s="170"/>
      <c r="F240" s="170"/>
      <c r="G240" s="170"/>
      <c r="H240" s="170"/>
      <c r="I240" s="170"/>
      <c r="J240" s="170"/>
      <c r="K240" s="170"/>
      <c r="L240" s="170"/>
      <c r="M240" s="170"/>
      <c r="N240" s="170"/>
      <c r="O240" s="170"/>
      <c r="P240" s="170"/>
      <c r="Q240" s="170"/>
      <c r="R240" s="170"/>
      <c r="S240" s="170"/>
      <c r="T240" s="170"/>
      <c r="U240" s="170">
        <f>1*U9</f>
        <v>1</v>
      </c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72" t="s">
        <v>525</v>
      </c>
      <c r="AL240" s="73"/>
      <c r="AM240" s="63">
        <f>'Import-T7.2019'!F235</f>
        <v>0</v>
      </c>
      <c r="AN240" s="182">
        <f t="shared" si="60"/>
        <v>1</v>
      </c>
      <c r="AO240" s="182">
        <f>'NG T7.2019'!F235</f>
        <v>0</v>
      </c>
      <c r="AP240" s="181">
        <f t="shared" si="61"/>
        <v>-1</v>
      </c>
      <c r="AQ240" s="194" t="s">
        <v>563</v>
      </c>
    </row>
    <row r="241" spans="1:43" ht="15" customHeight="1" x14ac:dyDescent="0.25">
      <c r="A241" s="3">
        <v>146</v>
      </c>
      <c r="B241" s="188" t="s">
        <v>460</v>
      </c>
      <c r="C241" s="122" t="s">
        <v>467</v>
      </c>
      <c r="D241" s="86" t="s">
        <v>468</v>
      </c>
      <c r="E241" s="170"/>
      <c r="F241" s="170"/>
      <c r="G241" s="170"/>
      <c r="H241" s="170"/>
      <c r="I241" s="170"/>
      <c r="J241" s="170"/>
      <c r="K241" s="170"/>
      <c r="L241" s="170"/>
      <c r="M241" s="170"/>
      <c r="N241" s="170"/>
      <c r="O241" s="170"/>
      <c r="P241" s="170"/>
      <c r="Q241" s="170"/>
      <c r="R241" s="170"/>
      <c r="S241" s="170"/>
      <c r="T241" s="170"/>
      <c r="U241" s="170"/>
      <c r="V241" s="170">
        <f>1*V9</f>
        <v>1</v>
      </c>
      <c r="W241" s="170"/>
      <c r="X241" s="170"/>
      <c r="Y241" s="170"/>
      <c r="Z241" s="170"/>
      <c r="AA241" s="170"/>
      <c r="AB241" s="170"/>
      <c r="AC241" s="170"/>
      <c r="AD241" s="170"/>
      <c r="AE241" s="170"/>
      <c r="AF241" s="170"/>
      <c r="AG241" s="170"/>
      <c r="AH241" s="170"/>
      <c r="AI241" s="170"/>
      <c r="AJ241" s="170"/>
      <c r="AK241" s="72" t="s">
        <v>525</v>
      </c>
      <c r="AL241" s="73"/>
      <c r="AM241" s="63">
        <f>'Import-T7.2019'!F236</f>
        <v>0</v>
      </c>
      <c r="AN241" s="182">
        <f t="shared" si="60"/>
        <v>1</v>
      </c>
      <c r="AO241" s="182">
        <f>'NG T7.2019'!F236</f>
        <v>0</v>
      </c>
      <c r="AP241" s="181">
        <f t="shared" si="61"/>
        <v>-1</v>
      </c>
      <c r="AQ241" s="194" t="s">
        <v>563</v>
      </c>
    </row>
    <row r="242" spans="1:43" ht="15" customHeight="1" x14ac:dyDescent="0.25">
      <c r="A242" s="3">
        <v>147</v>
      </c>
      <c r="B242" s="188" t="s">
        <v>460</v>
      </c>
      <c r="C242" s="122" t="s">
        <v>469</v>
      </c>
      <c r="D242" s="86" t="s">
        <v>470</v>
      </c>
      <c r="E242" s="170"/>
      <c r="F242" s="170"/>
      <c r="G242" s="170"/>
      <c r="H242" s="170"/>
      <c r="I242" s="170"/>
      <c r="J242" s="170"/>
      <c r="K242" s="170"/>
      <c r="L242" s="170"/>
      <c r="M242" s="170"/>
      <c r="N242" s="170"/>
      <c r="O242" s="170"/>
      <c r="P242" s="170"/>
      <c r="Q242" s="170"/>
      <c r="R242" s="170"/>
      <c r="S242" s="170"/>
      <c r="T242" s="170"/>
      <c r="U242" s="170"/>
      <c r="V242" s="170"/>
      <c r="W242" s="170">
        <f>1*W9</f>
        <v>1</v>
      </c>
      <c r="X242" s="170"/>
      <c r="Y242" s="170"/>
      <c r="Z242" s="170"/>
      <c r="AA242" s="170"/>
      <c r="AB242" s="170"/>
      <c r="AC242" s="170"/>
      <c r="AD242" s="170"/>
      <c r="AE242" s="170"/>
      <c r="AF242" s="170"/>
      <c r="AG242" s="170"/>
      <c r="AH242" s="170"/>
      <c r="AI242" s="170"/>
      <c r="AJ242" s="170"/>
      <c r="AK242" s="72" t="s">
        <v>525</v>
      </c>
      <c r="AL242" s="73"/>
      <c r="AM242" s="63">
        <f>'Import-T7.2019'!F237</f>
        <v>0</v>
      </c>
      <c r="AN242" s="182">
        <f t="shared" si="60"/>
        <v>1</v>
      </c>
      <c r="AO242" s="182">
        <f>'NG T7.2019'!F237</f>
        <v>0</v>
      </c>
      <c r="AP242" s="181">
        <f t="shared" si="61"/>
        <v>-1</v>
      </c>
      <c r="AQ242" s="194" t="s">
        <v>563</v>
      </c>
    </row>
    <row r="243" spans="1:43" ht="15" customHeight="1" x14ac:dyDescent="0.25">
      <c r="A243" s="3">
        <v>148</v>
      </c>
      <c r="B243" s="188" t="s">
        <v>460</v>
      </c>
      <c r="C243" s="122" t="s">
        <v>471</v>
      </c>
      <c r="D243" s="86" t="s">
        <v>472</v>
      </c>
      <c r="E243" s="170"/>
      <c r="F243" s="170"/>
      <c r="G243" s="170"/>
      <c r="H243" s="170"/>
      <c r="I243" s="170"/>
      <c r="J243" s="170"/>
      <c r="K243" s="170"/>
      <c r="L243" s="170"/>
      <c r="M243" s="170"/>
      <c r="N243" s="170"/>
      <c r="O243" s="170"/>
      <c r="P243" s="170"/>
      <c r="Q243" s="170"/>
      <c r="R243" s="170"/>
      <c r="S243" s="170"/>
      <c r="T243" s="170"/>
      <c r="U243" s="170"/>
      <c r="V243" s="170"/>
      <c r="W243" s="170"/>
      <c r="X243" s="170">
        <f>1*X9</f>
        <v>1</v>
      </c>
      <c r="Y243" s="170"/>
      <c r="Z243" s="170"/>
      <c r="AA243" s="170"/>
      <c r="AB243" s="170"/>
      <c r="AC243" s="170"/>
      <c r="AD243" s="170"/>
      <c r="AE243" s="170"/>
      <c r="AF243" s="170"/>
      <c r="AG243" s="170"/>
      <c r="AH243" s="170"/>
      <c r="AI243" s="170"/>
      <c r="AJ243" s="170"/>
      <c r="AK243" s="72" t="s">
        <v>525</v>
      </c>
      <c r="AL243" s="73"/>
      <c r="AM243" s="63">
        <f>'Import-T7.2019'!F238</f>
        <v>0</v>
      </c>
      <c r="AN243" s="182">
        <f t="shared" si="60"/>
        <v>1</v>
      </c>
      <c r="AO243" s="182">
        <f>'NG T7.2019'!F238</f>
        <v>0</v>
      </c>
      <c r="AP243" s="181">
        <f t="shared" si="61"/>
        <v>-1</v>
      </c>
      <c r="AQ243" s="194" t="s">
        <v>563</v>
      </c>
    </row>
    <row r="244" spans="1:43" ht="15" customHeight="1" x14ac:dyDescent="0.25">
      <c r="A244" s="3">
        <v>149</v>
      </c>
      <c r="B244" s="188" t="s">
        <v>460</v>
      </c>
      <c r="C244" s="122" t="s">
        <v>473</v>
      </c>
      <c r="D244" s="86" t="s">
        <v>474</v>
      </c>
      <c r="E244" s="170"/>
      <c r="F244" s="170"/>
      <c r="G244" s="170"/>
      <c r="H244" s="170"/>
      <c r="I244" s="170"/>
      <c r="J244" s="170"/>
      <c r="K244" s="170"/>
      <c r="L244" s="170"/>
      <c r="M244" s="170"/>
      <c r="N244" s="170"/>
      <c r="O244" s="170"/>
      <c r="P244" s="170"/>
      <c r="Q244" s="170"/>
      <c r="R244" s="170"/>
      <c r="S244" s="170"/>
      <c r="T244" s="170"/>
      <c r="U244" s="170"/>
      <c r="V244" s="170"/>
      <c r="W244" s="170"/>
      <c r="X244" s="170"/>
      <c r="Y244" s="170">
        <f>1*Y9</f>
        <v>1</v>
      </c>
      <c r="Z244" s="170"/>
      <c r="AA244" s="170"/>
      <c r="AB244" s="170"/>
      <c r="AC244" s="170"/>
      <c r="AD244" s="170"/>
      <c r="AE244" s="170"/>
      <c r="AF244" s="170"/>
      <c r="AG244" s="170"/>
      <c r="AH244" s="170"/>
      <c r="AI244" s="170"/>
      <c r="AJ244" s="170"/>
      <c r="AK244" s="72" t="s">
        <v>525</v>
      </c>
      <c r="AL244" s="73"/>
      <c r="AM244" s="63">
        <f>'Import-T7.2019'!F239</f>
        <v>0</v>
      </c>
      <c r="AN244" s="182">
        <f t="shared" si="60"/>
        <v>1</v>
      </c>
      <c r="AO244" s="182">
        <f>'NG T7.2019'!F239</f>
        <v>0</v>
      </c>
      <c r="AP244" s="181">
        <f t="shared" si="61"/>
        <v>-1</v>
      </c>
      <c r="AQ244" s="194" t="s">
        <v>563</v>
      </c>
    </row>
    <row r="245" spans="1:43" ht="15" customHeight="1" x14ac:dyDescent="0.25">
      <c r="A245" s="3">
        <v>150</v>
      </c>
      <c r="B245" s="188" t="s">
        <v>460</v>
      </c>
      <c r="C245" s="122" t="s">
        <v>475</v>
      </c>
      <c r="D245" s="86" t="s">
        <v>476</v>
      </c>
      <c r="E245" s="170"/>
      <c r="F245" s="170"/>
      <c r="G245" s="170"/>
      <c r="H245" s="170"/>
      <c r="I245" s="170"/>
      <c r="J245" s="170"/>
      <c r="K245" s="170"/>
      <c r="L245" s="170"/>
      <c r="M245" s="170"/>
      <c r="N245" s="170"/>
      <c r="O245" s="170"/>
      <c r="P245" s="170"/>
      <c r="Q245" s="170"/>
      <c r="R245" s="170"/>
      <c r="S245" s="170"/>
      <c r="T245" s="170"/>
      <c r="U245" s="170"/>
      <c r="V245" s="170"/>
      <c r="W245" s="170"/>
      <c r="X245" s="170"/>
      <c r="Y245" s="170"/>
      <c r="Z245" s="170">
        <f>1*Z9</f>
        <v>1</v>
      </c>
      <c r="AA245" s="170"/>
      <c r="AB245" s="170"/>
      <c r="AC245" s="170"/>
      <c r="AD245" s="170"/>
      <c r="AE245" s="170"/>
      <c r="AF245" s="170"/>
      <c r="AG245" s="170"/>
      <c r="AH245" s="170"/>
      <c r="AI245" s="170"/>
      <c r="AJ245" s="170"/>
      <c r="AK245" s="72" t="s">
        <v>525</v>
      </c>
      <c r="AL245" s="73"/>
      <c r="AM245" s="63">
        <f>'Import-T7.2019'!F240</f>
        <v>0</v>
      </c>
      <c r="AN245" s="182">
        <f t="shared" si="60"/>
        <v>1</v>
      </c>
      <c r="AO245" s="182">
        <f>'NG T7.2019'!F240</f>
        <v>0</v>
      </c>
      <c r="AP245" s="181">
        <f t="shared" si="61"/>
        <v>-1</v>
      </c>
      <c r="AQ245" s="194" t="s">
        <v>563</v>
      </c>
    </row>
    <row r="246" spans="1:43" ht="15" customHeight="1" x14ac:dyDescent="0.25">
      <c r="A246" s="3">
        <v>151</v>
      </c>
      <c r="B246" s="188" t="s">
        <v>460</v>
      </c>
      <c r="C246" s="122" t="s">
        <v>477</v>
      </c>
      <c r="D246" s="86" t="s">
        <v>478</v>
      </c>
      <c r="E246" s="170"/>
      <c r="F246" s="170"/>
      <c r="G246" s="170"/>
      <c r="H246" s="170"/>
      <c r="I246" s="170"/>
      <c r="J246" s="170"/>
      <c r="K246" s="170"/>
      <c r="L246" s="170"/>
      <c r="M246" s="170"/>
      <c r="N246" s="170"/>
      <c r="O246" s="170"/>
      <c r="P246" s="170"/>
      <c r="Q246" s="170"/>
      <c r="R246" s="170"/>
      <c r="S246" s="170"/>
      <c r="T246" s="170"/>
      <c r="U246" s="170"/>
      <c r="V246" s="170"/>
      <c r="W246" s="170"/>
      <c r="X246" s="170"/>
      <c r="Y246" s="170"/>
      <c r="Z246" s="170"/>
      <c r="AA246" s="170">
        <f>1*AA9</f>
        <v>1</v>
      </c>
      <c r="AB246" s="170"/>
      <c r="AC246" s="170"/>
      <c r="AD246" s="170"/>
      <c r="AE246" s="170"/>
      <c r="AF246" s="170"/>
      <c r="AG246" s="170"/>
      <c r="AH246" s="170"/>
      <c r="AI246" s="170"/>
      <c r="AJ246" s="170"/>
      <c r="AK246" s="72" t="s">
        <v>525</v>
      </c>
      <c r="AL246" s="73"/>
      <c r="AM246" s="63">
        <f>'Import-T7.2019'!F241</f>
        <v>0</v>
      </c>
      <c r="AN246" s="182">
        <f t="shared" si="60"/>
        <v>1</v>
      </c>
      <c r="AO246" s="182">
        <f>'NG T7.2019'!F241</f>
        <v>0</v>
      </c>
      <c r="AP246" s="181">
        <f t="shared" si="61"/>
        <v>-1</v>
      </c>
      <c r="AQ246" s="194" t="s">
        <v>563</v>
      </c>
    </row>
    <row r="247" spans="1:43" ht="15" customHeight="1" x14ac:dyDescent="0.25">
      <c r="A247" s="3">
        <v>152</v>
      </c>
      <c r="B247" s="188" t="s">
        <v>460</v>
      </c>
      <c r="C247" s="122" t="s">
        <v>479</v>
      </c>
      <c r="D247" s="86" t="s">
        <v>480</v>
      </c>
      <c r="E247" s="170"/>
      <c r="F247" s="170"/>
      <c r="G247" s="170"/>
      <c r="H247" s="170"/>
      <c r="I247" s="170"/>
      <c r="J247" s="170"/>
      <c r="K247" s="170"/>
      <c r="L247" s="170"/>
      <c r="M247" s="170"/>
      <c r="N247" s="170"/>
      <c r="O247" s="170"/>
      <c r="P247" s="170"/>
      <c r="Q247" s="170"/>
      <c r="R247" s="170"/>
      <c r="S247" s="170"/>
      <c r="T247" s="170"/>
      <c r="U247" s="170"/>
      <c r="V247" s="170"/>
      <c r="W247" s="170"/>
      <c r="X247" s="170"/>
      <c r="Y247" s="170"/>
      <c r="Z247" s="170"/>
      <c r="AA247" s="170"/>
      <c r="AB247" s="170">
        <f>1*AB9</f>
        <v>1</v>
      </c>
      <c r="AC247" s="170"/>
      <c r="AD247" s="170"/>
      <c r="AE247" s="170"/>
      <c r="AF247" s="170"/>
      <c r="AG247" s="170"/>
      <c r="AH247" s="170"/>
      <c r="AI247" s="170"/>
      <c r="AJ247" s="170"/>
      <c r="AK247" s="72" t="s">
        <v>525</v>
      </c>
      <c r="AL247" s="73"/>
      <c r="AM247" s="63">
        <f>'Import-T7.2019'!F242</f>
        <v>0</v>
      </c>
      <c r="AN247" s="182">
        <f t="shared" si="60"/>
        <v>1</v>
      </c>
      <c r="AO247" s="182">
        <f>'NG T7.2019'!F242</f>
        <v>0</v>
      </c>
      <c r="AP247" s="181">
        <f t="shared" si="61"/>
        <v>-1</v>
      </c>
      <c r="AQ247" s="194" t="s">
        <v>563</v>
      </c>
    </row>
    <row r="248" spans="1:43" ht="15" customHeight="1" x14ac:dyDescent="0.25">
      <c r="A248" s="3">
        <v>153</v>
      </c>
      <c r="B248" s="188" t="s">
        <v>460</v>
      </c>
      <c r="C248" s="122" t="s">
        <v>481</v>
      </c>
      <c r="D248" s="86" t="s">
        <v>451</v>
      </c>
      <c r="E248" s="170"/>
      <c r="F248" s="170"/>
      <c r="G248" s="170"/>
      <c r="H248" s="170"/>
      <c r="I248" s="170"/>
      <c r="J248" s="170"/>
      <c r="K248" s="170"/>
      <c r="L248" s="170"/>
      <c r="M248" s="170"/>
      <c r="N248" s="170"/>
      <c r="O248" s="170"/>
      <c r="P248" s="170"/>
      <c r="Q248" s="170"/>
      <c r="R248" s="170"/>
      <c r="S248" s="170"/>
      <c r="T248" s="170"/>
      <c r="U248" s="170"/>
      <c r="V248" s="170"/>
      <c r="W248" s="170"/>
      <c r="X248" s="170"/>
      <c r="Y248" s="170"/>
      <c r="Z248" s="170"/>
      <c r="AA248" s="170"/>
      <c r="AB248" s="170"/>
      <c r="AC248" s="170"/>
      <c r="AD248" s="170"/>
      <c r="AE248" s="170"/>
      <c r="AF248" s="170"/>
      <c r="AG248" s="170">
        <f>1*AG9</f>
        <v>1</v>
      </c>
      <c r="AH248" s="170"/>
      <c r="AI248" s="170"/>
      <c r="AJ248" s="170"/>
      <c r="AK248" s="72" t="s">
        <v>525</v>
      </c>
      <c r="AL248" s="73"/>
      <c r="AM248" s="63">
        <f>'Import-T7.2019'!F243</f>
        <v>0</v>
      </c>
      <c r="AN248" s="182">
        <f t="shared" si="60"/>
        <v>1</v>
      </c>
      <c r="AO248" s="182">
        <f>'NG T7.2019'!F243</f>
        <v>0</v>
      </c>
      <c r="AP248" s="181">
        <f t="shared" si="61"/>
        <v>-1</v>
      </c>
      <c r="AQ248" s="194" t="s">
        <v>563</v>
      </c>
    </row>
    <row r="249" spans="1:43" ht="15" customHeight="1" x14ac:dyDescent="0.25">
      <c r="A249" s="3">
        <v>154</v>
      </c>
      <c r="B249" s="188" t="s">
        <v>460</v>
      </c>
      <c r="C249" s="122" t="s">
        <v>482</v>
      </c>
      <c r="D249" s="86" t="s">
        <v>483</v>
      </c>
      <c r="E249" s="170"/>
      <c r="F249" s="170"/>
      <c r="G249" s="170"/>
      <c r="H249" s="170"/>
      <c r="I249" s="170"/>
      <c r="J249" s="170"/>
      <c r="K249" s="170"/>
      <c r="L249" s="170"/>
      <c r="M249" s="170"/>
      <c r="N249" s="170"/>
      <c r="O249" s="170"/>
      <c r="P249" s="170"/>
      <c r="Q249" s="170"/>
      <c r="R249" s="170"/>
      <c r="S249" s="170"/>
      <c r="T249" s="170"/>
      <c r="U249" s="170"/>
      <c r="V249" s="170"/>
      <c r="W249" s="170"/>
      <c r="X249" s="170"/>
      <c r="Y249" s="170"/>
      <c r="Z249" s="170"/>
      <c r="AA249" s="170"/>
      <c r="AB249" s="170"/>
      <c r="AC249" s="170"/>
      <c r="AD249" s="170"/>
      <c r="AE249" s="170"/>
      <c r="AF249" s="170"/>
      <c r="AG249" s="170"/>
      <c r="AH249" s="170">
        <f>1*AH9</f>
        <v>1</v>
      </c>
      <c r="AI249" s="170"/>
      <c r="AJ249" s="170"/>
      <c r="AK249" s="72" t="s">
        <v>525</v>
      </c>
      <c r="AL249" s="73"/>
      <c r="AM249" s="63">
        <f>'Import-T7.2019'!F244</f>
        <v>0</v>
      </c>
      <c r="AN249" s="182">
        <f t="shared" si="60"/>
        <v>1</v>
      </c>
      <c r="AO249" s="182">
        <f>'NG T7.2019'!F244</f>
        <v>0</v>
      </c>
      <c r="AP249" s="181">
        <f t="shared" si="61"/>
        <v>-1</v>
      </c>
      <c r="AQ249" s="194" t="s">
        <v>563</v>
      </c>
    </row>
    <row r="250" spans="1:43" ht="15" customHeight="1" x14ac:dyDescent="0.25">
      <c r="A250" s="3">
        <v>155</v>
      </c>
      <c r="B250" s="188" t="s">
        <v>460</v>
      </c>
      <c r="C250" s="122" t="s">
        <v>484</v>
      </c>
      <c r="D250" s="86" t="s">
        <v>485</v>
      </c>
      <c r="E250" s="170"/>
      <c r="F250" s="170"/>
      <c r="G250" s="170"/>
      <c r="H250" s="170"/>
      <c r="I250" s="170"/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  <c r="Z250" s="170"/>
      <c r="AA250" s="170"/>
      <c r="AB250" s="170"/>
      <c r="AC250" s="170"/>
      <c r="AD250" s="170"/>
      <c r="AE250" s="170"/>
      <c r="AF250" s="170"/>
      <c r="AG250" s="170"/>
      <c r="AH250" s="170"/>
      <c r="AI250" s="170">
        <f>1*AI9</f>
        <v>1</v>
      </c>
      <c r="AJ250" s="170"/>
      <c r="AK250" s="72" t="s">
        <v>525</v>
      </c>
      <c r="AL250" s="73"/>
      <c r="AM250" s="63">
        <f>'Import-T7.2019'!F245</f>
        <v>0</v>
      </c>
      <c r="AN250" s="182">
        <f t="shared" si="60"/>
        <v>1</v>
      </c>
      <c r="AO250" s="182">
        <f>'NG T7.2019'!F245</f>
        <v>0</v>
      </c>
      <c r="AP250" s="181">
        <f t="shared" si="61"/>
        <v>-1</v>
      </c>
      <c r="AQ250" s="194" t="s">
        <v>563</v>
      </c>
    </row>
    <row r="251" spans="1:43" ht="15" customHeight="1" x14ac:dyDescent="0.25">
      <c r="A251" s="3">
        <v>156</v>
      </c>
      <c r="B251" s="188" t="s">
        <v>460</v>
      </c>
      <c r="C251" s="122" t="s">
        <v>486</v>
      </c>
      <c r="D251" s="86" t="s">
        <v>487</v>
      </c>
      <c r="E251" s="170"/>
      <c r="F251" s="170"/>
      <c r="G251" s="170"/>
      <c r="H251" s="170"/>
      <c r="I251" s="170"/>
      <c r="J251" s="170"/>
      <c r="K251" s="170"/>
      <c r="L251" s="170"/>
      <c r="M251" s="170"/>
      <c r="N251" s="170"/>
      <c r="O251" s="170"/>
      <c r="P251" s="170"/>
      <c r="Q251" s="170"/>
      <c r="R251" s="170"/>
      <c r="S251" s="170"/>
      <c r="T251" s="170"/>
      <c r="U251" s="170"/>
      <c r="V251" s="170"/>
      <c r="W251" s="170"/>
      <c r="X251" s="170"/>
      <c r="Y251" s="170"/>
      <c r="Z251" s="170"/>
      <c r="AA251" s="170"/>
      <c r="AB251" s="170"/>
      <c r="AC251" s="170"/>
      <c r="AD251" s="170"/>
      <c r="AE251" s="170"/>
      <c r="AF251" s="170"/>
      <c r="AG251" s="170"/>
      <c r="AH251" s="170"/>
      <c r="AI251" s="170"/>
      <c r="AJ251" s="170">
        <f>1*AJ9</f>
        <v>1</v>
      </c>
      <c r="AK251" s="72" t="s">
        <v>525</v>
      </c>
      <c r="AL251" s="73"/>
      <c r="AM251" s="63">
        <f>'Import-T7.2019'!F246</f>
        <v>0</v>
      </c>
      <c r="AN251" s="182">
        <f t="shared" si="60"/>
        <v>1</v>
      </c>
      <c r="AO251" s="182">
        <f>'NG T7.2019'!F246</f>
        <v>0</v>
      </c>
      <c r="AP251" s="181">
        <f t="shared" si="61"/>
        <v>-1</v>
      </c>
      <c r="AQ251" s="194" t="s">
        <v>563</v>
      </c>
    </row>
    <row r="252" spans="1:43" ht="15" customHeight="1" x14ac:dyDescent="0.25">
      <c r="A252" s="3">
        <v>157</v>
      </c>
      <c r="B252" s="188" t="s">
        <v>460</v>
      </c>
      <c r="C252" s="122" t="s">
        <v>481</v>
      </c>
      <c r="D252" s="86" t="s">
        <v>488</v>
      </c>
      <c r="E252" s="170"/>
      <c r="F252" s="170"/>
      <c r="G252" s="170"/>
      <c r="H252" s="170"/>
      <c r="I252" s="170"/>
      <c r="J252" s="170"/>
      <c r="K252" s="170"/>
      <c r="L252" s="170"/>
      <c r="M252" s="170"/>
      <c r="N252" s="170"/>
      <c r="O252" s="170"/>
      <c r="P252" s="170"/>
      <c r="Q252" s="170"/>
      <c r="R252" s="170"/>
      <c r="S252" s="170"/>
      <c r="T252" s="170"/>
      <c r="U252" s="170"/>
      <c r="V252" s="170"/>
      <c r="W252" s="170"/>
      <c r="X252" s="170"/>
      <c r="Y252" s="170"/>
      <c r="Z252" s="170"/>
      <c r="AA252" s="170"/>
      <c r="AB252" s="170"/>
      <c r="AC252" s="170">
        <f>1*AC9</f>
        <v>1</v>
      </c>
      <c r="AD252" s="170"/>
      <c r="AE252" s="170"/>
      <c r="AF252" s="170"/>
      <c r="AG252" s="170"/>
      <c r="AH252" s="170"/>
      <c r="AI252" s="170"/>
      <c r="AJ252" s="170"/>
      <c r="AK252" s="72" t="s">
        <v>525</v>
      </c>
      <c r="AL252" s="73"/>
      <c r="AM252" s="63">
        <f>'Import-T7.2019'!F247</f>
        <v>0</v>
      </c>
      <c r="AN252" s="182">
        <f t="shared" si="60"/>
        <v>1</v>
      </c>
      <c r="AO252" s="182">
        <f>'NG T7.2019'!F247</f>
        <v>0</v>
      </c>
      <c r="AP252" s="181">
        <f t="shared" si="61"/>
        <v>-1</v>
      </c>
      <c r="AQ252" s="194" t="s">
        <v>563</v>
      </c>
    </row>
    <row r="253" spans="1:43" ht="15" customHeight="1" x14ac:dyDescent="0.25">
      <c r="A253" s="3">
        <v>158</v>
      </c>
      <c r="B253" s="188" t="s">
        <v>460</v>
      </c>
      <c r="C253" s="122" t="s">
        <v>482</v>
      </c>
      <c r="D253" s="86" t="s">
        <v>489</v>
      </c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>
        <f>1*AD9</f>
        <v>1</v>
      </c>
      <c r="AE253" s="170"/>
      <c r="AF253" s="170"/>
      <c r="AG253" s="170"/>
      <c r="AH253" s="170"/>
      <c r="AI253" s="170"/>
      <c r="AJ253" s="170"/>
      <c r="AK253" s="72" t="s">
        <v>525</v>
      </c>
      <c r="AL253" s="73"/>
      <c r="AM253" s="63">
        <f>'Import-T7.2019'!F248</f>
        <v>0</v>
      </c>
      <c r="AN253" s="182">
        <f t="shared" si="60"/>
        <v>1</v>
      </c>
      <c r="AO253" s="182">
        <f>'NG T7.2019'!F248</f>
        <v>0</v>
      </c>
      <c r="AP253" s="181">
        <f t="shared" si="61"/>
        <v>-1</v>
      </c>
      <c r="AQ253" s="194" t="s">
        <v>563</v>
      </c>
    </row>
    <row r="254" spans="1:43" ht="15" customHeight="1" x14ac:dyDescent="0.25">
      <c r="A254" s="3">
        <v>159</v>
      </c>
      <c r="B254" s="188" t="s">
        <v>460</v>
      </c>
      <c r="C254" s="122" t="s">
        <v>484</v>
      </c>
      <c r="D254" s="86" t="s">
        <v>490</v>
      </c>
      <c r="E254" s="170"/>
      <c r="F254" s="170"/>
      <c r="G254" s="170"/>
      <c r="H254" s="170"/>
      <c r="I254" s="170"/>
      <c r="J254" s="170"/>
      <c r="K254" s="170"/>
      <c r="L254" s="170"/>
      <c r="M254" s="170"/>
      <c r="N254" s="170"/>
      <c r="O254" s="170"/>
      <c r="P254" s="170"/>
      <c r="Q254" s="170"/>
      <c r="R254" s="170"/>
      <c r="S254" s="170"/>
      <c r="T254" s="170"/>
      <c r="U254" s="170"/>
      <c r="V254" s="170"/>
      <c r="W254" s="170"/>
      <c r="X254" s="170"/>
      <c r="Y254" s="170"/>
      <c r="Z254" s="170"/>
      <c r="AA254" s="170"/>
      <c r="AB254" s="170"/>
      <c r="AC254" s="170"/>
      <c r="AD254" s="170"/>
      <c r="AE254" s="170">
        <f>1*AE9</f>
        <v>1</v>
      </c>
      <c r="AF254" s="170"/>
      <c r="AG254" s="170"/>
      <c r="AH254" s="170"/>
      <c r="AI254" s="170"/>
      <c r="AJ254" s="170"/>
      <c r="AK254" s="72" t="s">
        <v>525</v>
      </c>
      <c r="AL254" s="73"/>
      <c r="AM254" s="63">
        <f>'Import-T7.2019'!F249</f>
        <v>0</v>
      </c>
      <c r="AN254" s="182">
        <f t="shared" si="60"/>
        <v>1</v>
      </c>
      <c r="AO254" s="182">
        <f>'NG T7.2019'!F249</f>
        <v>0</v>
      </c>
      <c r="AP254" s="181">
        <f t="shared" si="61"/>
        <v>-1</v>
      </c>
      <c r="AQ254" s="194" t="s">
        <v>563</v>
      </c>
    </row>
    <row r="255" spans="1:43" ht="15" customHeight="1" x14ac:dyDescent="0.25">
      <c r="A255" s="3">
        <v>160</v>
      </c>
      <c r="B255" s="188" t="s">
        <v>460</v>
      </c>
      <c r="C255" s="122" t="s">
        <v>486</v>
      </c>
      <c r="D255" s="86" t="s">
        <v>491</v>
      </c>
      <c r="E255" s="170"/>
      <c r="F255" s="170"/>
      <c r="G255" s="170"/>
      <c r="H255" s="170"/>
      <c r="I255" s="170"/>
      <c r="J255" s="170"/>
      <c r="K255" s="170"/>
      <c r="L255" s="170"/>
      <c r="M255" s="170"/>
      <c r="N255" s="170"/>
      <c r="O255" s="170"/>
      <c r="P255" s="170"/>
      <c r="Q255" s="170"/>
      <c r="R255" s="170"/>
      <c r="S255" s="170"/>
      <c r="T255" s="170"/>
      <c r="U255" s="170"/>
      <c r="V255" s="170"/>
      <c r="W255" s="170"/>
      <c r="X255" s="170"/>
      <c r="Y255" s="170"/>
      <c r="Z255" s="170"/>
      <c r="AA255" s="170"/>
      <c r="AB255" s="170"/>
      <c r="AC255" s="170"/>
      <c r="AD255" s="170"/>
      <c r="AE255" s="170"/>
      <c r="AF255" s="170">
        <f>1*AF9</f>
        <v>1</v>
      </c>
      <c r="AG255" s="170"/>
      <c r="AH255" s="170"/>
      <c r="AI255" s="170"/>
      <c r="AJ255" s="170"/>
      <c r="AK255" s="72" t="s">
        <v>525</v>
      </c>
      <c r="AL255" s="73"/>
      <c r="AM255" s="63">
        <f>'Import-T7.2019'!F250</f>
        <v>0</v>
      </c>
      <c r="AN255" s="182">
        <f t="shared" si="60"/>
        <v>1</v>
      </c>
      <c r="AO255" s="182">
        <f>'NG T7.2019'!F250</f>
        <v>0</v>
      </c>
      <c r="AP255" s="181">
        <f t="shared" si="61"/>
        <v>-1</v>
      </c>
      <c r="AQ255" s="194" t="s">
        <v>563</v>
      </c>
    </row>
    <row r="256" spans="1:43" ht="15" customHeight="1" x14ac:dyDescent="0.25">
      <c r="A256" s="3">
        <v>161</v>
      </c>
      <c r="B256" s="65" t="s">
        <v>305</v>
      </c>
      <c r="C256" s="122" t="s">
        <v>492</v>
      </c>
      <c r="D256" s="86" t="s">
        <v>493</v>
      </c>
      <c r="E256" s="170">
        <f>1*E9</f>
        <v>1</v>
      </c>
      <c r="F256" s="170">
        <f>1*F9</f>
        <v>1</v>
      </c>
      <c r="G256" s="170">
        <f>1*G9</f>
        <v>1</v>
      </c>
      <c r="H256" s="170">
        <f>1*H9</f>
        <v>1</v>
      </c>
      <c r="I256" s="170"/>
      <c r="J256" s="170"/>
      <c r="K256" s="170"/>
      <c r="L256" s="170"/>
      <c r="M256" s="170"/>
      <c r="N256" s="170">
        <f>1*N9</f>
        <v>1</v>
      </c>
      <c r="O256" s="170">
        <f>1*O9</f>
        <v>1</v>
      </c>
      <c r="P256" s="170">
        <f>1*P9</f>
        <v>1</v>
      </c>
      <c r="Q256" s="170">
        <f>1*Q9</f>
        <v>1</v>
      </c>
      <c r="R256" s="170">
        <f>1*R9</f>
        <v>1</v>
      </c>
      <c r="S256" s="170"/>
      <c r="T256" s="170"/>
      <c r="U256" s="170"/>
      <c r="V256" s="170"/>
      <c r="W256" s="170"/>
      <c r="X256" s="170"/>
      <c r="Y256" s="170"/>
      <c r="Z256" s="170"/>
      <c r="AA256" s="170"/>
      <c r="AB256" s="170"/>
      <c r="AC256" s="170">
        <f>1*AC9</f>
        <v>1</v>
      </c>
      <c r="AD256" s="170">
        <f t="shared" ref="AD256:AJ256" si="62">1*AD9</f>
        <v>1</v>
      </c>
      <c r="AE256" s="170">
        <f t="shared" si="62"/>
        <v>1</v>
      </c>
      <c r="AF256" s="170">
        <f t="shared" si="62"/>
        <v>1</v>
      </c>
      <c r="AG256" s="170">
        <f t="shared" si="62"/>
        <v>1</v>
      </c>
      <c r="AH256" s="170">
        <f t="shared" si="62"/>
        <v>1</v>
      </c>
      <c r="AI256" s="170">
        <f t="shared" si="62"/>
        <v>1</v>
      </c>
      <c r="AJ256" s="170">
        <f t="shared" si="62"/>
        <v>1</v>
      </c>
      <c r="AK256" s="72" t="s">
        <v>525</v>
      </c>
      <c r="AL256" s="73">
        <v>160200</v>
      </c>
      <c r="AM256" s="63">
        <f>'Import-T7.2019'!F251</f>
        <v>0</v>
      </c>
      <c r="AN256" s="182">
        <f t="shared" si="60"/>
        <v>17</v>
      </c>
      <c r="AO256" s="182">
        <f>'NG T7.2019'!F251</f>
        <v>0</v>
      </c>
      <c r="AP256" s="181">
        <f t="shared" si="61"/>
        <v>160183</v>
      </c>
      <c r="AQ256" s="194" t="s">
        <v>564</v>
      </c>
    </row>
    <row r="257" spans="1:43" ht="15" customHeight="1" x14ac:dyDescent="0.25">
      <c r="A257" s="3">
        <v>162</v>
      </c>
      <c r="B257" s="50" t="s">
        <v>494</v>
      </c>
      <c r="C257" s="122" t="s">
        <v>495</v>
      </c>
      <c r="D257" s="86" t="s">
        <v>496</v>
      </c>
      <c r="E257" s="170"/>
      <c r="F257" s="170"/>
      <c r="G257" s="170"/>
      <c r="H257" s="170"/>
      <c r="I257" s="170"/>
      <c r="J257" s="170"/>
      <c r="K257" s="170"/>
      <c r="L257" s="170"/>
      <c r="M257" s="170"/>
      <c r="N257" s="170"/>
      <c r="O257" s="170"/>
      <c r="P257" s="170"/>
      <c r="Q257" s="170"/>
      <c r="R257" s="170"/>
      <c r="S257" s="170">
        <f>1*S9</f>
        <v>1</v>
      </c>
      <c r="T257" s="170">
        <f>1*T9</f>
        <v>1</v>
      </c>
      <c r="U257" s="170">
        <f>1*U9</f>
        <v>1</v>
      </c>
      <c r="V257" s="170">
        <f t="shared" ref="V257:AB257" si="63">1*V9</f>
        <v>1</v>
      </c>
      <c r="W257" s="170">
        <f t="shared" si="63"/>
        <v>1</v>
      </c>
      <c r="X257" s="170">
        <f t="shared" si="63"/>
        <v>1</v>
      </c>
      <c r="Y257" s="170">
        <f t="shared" si="63"/>
        <v>1</v>
      </c>
      <c r="Z257" s="170">
        <f t="shared" si="63"/>
        <v>1</v>
      </c>
      <c r="AA257" s="170">
        <f t="shared" si="63"/>
        <v>1</v>
      </c>
      <c r="AB257" s="170">
        <f t="shared" si="63"/>
        <v>1</v>
      </c>
      <c r="AC257" s="170"/>
      <c r="AD257" s="170"/>
      <c r="AE257" s="170"/>
      <c r="AF257" s="170"/>
      <c r="AG257" s="170"/>
      <c r="AH257" s="170"/>
      <c r="AI257" s="170"/>
      <c r="AJ257" s="170"/>
      <c r="AK257" s="72" t="s">
        <v>525</v>
      </c>
      <c r="AL257" s="73"/>
      <c r="AM257" s="63">
        <f>'Import-T7.2019'!F252</f>
        <v>0</v>
      </c>
      <c r="AN257" s="182">
        <f t="shared" si="60"/>
        <v>10</v>
      </c>
      <c r="AO257" s="182">
        <f>'NG T7.2019'!F252</f>
        <v>0</v>
      </c>
      <c r="AP257" s="181">
        <f t="shared" si="61"/>
        <v>-10</v>
      </c>
      <c r="AQ257" s="194" t="s">
        <v>564</v>
      </c>
    </row>
    <row r="258" spans="1:43" ht="15" customHeight="1" x14ac:dyDescent="0.25">
      <c r="A258" s="3">
        <v>163</v>
      </c>
      <c r="B258" s="65" t="s">
        <v>497</v>
      </c>
      <c r="C258" s="118" t="s">
        <v>498</v>
      </c>
      <c r="D258" s="102" t="s">
        <v>499</v>
      </c>
      <c r="E258" s="170">
        <f>1*E9</f>
        <v>1</v>
      </c>
      <c r="F258" s="170">
        <f>1*F9</f>
        <v>1</v>
      </c>
      <c r="G258" s="170">
        <f>1*G9</f>
        <v>1</v>
      </c>
      <c r="H258" s="170">
        <f>1*H9</f>
        <v>1</v>
      </c>
      <c r="I258" s="170"/>
      <c r="J258" s="170"/>
      <c r="K258" s="170"/>
      <c r="L258" s="170"/>
      <c r="M258" s="170"/>
      <c r="N258" s="170"/>
      <c r="O258" s="170"/>
      <c r="P258" s="170"/>
      <c r="Q258" s="170"/>
      <c r="R258" s="170"/>
      <c r="S258" s="170"/>
      <c r="T258" s="170"/>
      <c r="U258" s="170"/>
      <c r="V258" s="170"/>
      <c r="W258" s="170"/>
      <c r="X258" s="170"/>
      <c r="Y258" s="170"/>
      <c r="Z258" s="170"/>
      <c r="AA258" s="170"/>
      <c r="AB258" s="170"/>
      <c r="AC258" s="170"/>
      <c r="AD258" s="170"/>
      <c r="AE258" s="170"/>
      <c r="AF258" s="170"/>
      <c r="AG258" s="170"/>
      <c r="AH258" s="170"/>
      <c r="AI258" s="170"/>
      <c r="AJ258" s="170"/>
      <c r="AK258" s="72" t="s">
        <v>525</v>
      </c>
      <c r="AL258" s="73">
        <v>94700</v>
      </c>
      <c r="AM258" s="63">
        <f>'Import-T7.2019'!F253</f>
        <v>2880</v>
      </c>
      <c r="AN258" s="182">
        <f t="shared" si="60"/>
        <v>4</v>
      </c>
      <c r="AO258" s="182">
        <f>'NG T7.2019'!F253</f>
        <v>0</v>
      </c>
      <c r="AP258" s="181">
        <f t="shared" si="61"/>
        <v>97576</v>
      </c>
      <c r="AQ258" s="194" t="s">
        <v>552</v>
      </c>
    </row>
    <row r="259" spans="1:43" ht="15" customHeight="1" x14ac:dyDescent="0.25">
      <c r="A259" s="3"/>
      <c r="B259" s="68" t="s">
        <v>500</v>
      </c>
      <c r="C259" s="118" t="s">
        <v>501</v>
      </c>
      <c r="D259" s="102" t="s">
        <v>502</v>
      </c>
      <c r="E259" s="170"/>
      <c r="F259" s="170"/>
      <c r="G259" s="170"/>
      <c r="H259" s="170"/>
      <c r="I259" s="170"/>
      <c r="J259" s="170"/>
      <c r="K259" s="170"/>
      <c r="L259" s="170"/>
      <c r="M259" s="170"/>
      <c r="N259" s="170">
        <f>1*N9</f>
        <v>1</v>
      </c>
      <c r="O259" s="170">
        <f>1*O9</f>
        <v>1</v>
      </c>
      <c r="P259" s="170">
        <f>1*P9</f>
        <v>1</v>
      </c>
      <c r="Q259" s="170">
        <f>1*Q9</f>
        <v>1</v>
      </c>
      <c r="R259" s="170">
        <f>1*R9</f>
        <v>1</v>
      </c>
      <c r="S259" s="170"/>
      <c r="T259" s="170"/>
      <c r="U259" s="170"/>
      <c r="V259" s="170"/>
      <c r="W259" s="170"/>
      <c r="X259" s="170"/>
      <c r="Y259" s="170"/>
      <c r="Z259" s="170"/>
      <c r="AA259" s="170"/>
      <c r="AB259" s="170"/>
      <c r="AC259" s="170"/>
      <c r="AD259" s="170"/>
      <c r="AE259" s="170"/>
      <c r="AF259" s="170"/>
      <c r="AG259" s="170"/>
      <c r="AH259" s="170"/>
      <c r="AI259" s="170"/>
      <c r="AJ259" s="170"/>
      <c r="AK259" s="72"/>
      <c r="AL259" s="73">
        <v>10400</v>
      </c>
      <c r="AM259" s="63">
        <f>'Import-T7.2019'!F254</f>
        <v>90335</v>
      </c>
      <c r="AN259" s="182">
        <f t="shared" si="60"/>
        <v>5</v>
      </c>
      <c r="AO259" s="182">
        <f>'NG T7.2019'!F254</f>
        <v>0</v>
      </c>
      <c r="AP259" s="181">
        <f t="shared" si="61"/>
        <v>100730</v>
      </c>
      <c r="AQ259" s="194" t="s">
        <v>552</v>
      </c>
    </row>
    <row r="260" spans="1:43" ht="15" customHeight="1" x14ac:dyDescent="0.25">
      <c r="A260" s="3">
        <v>164</v>
      </c>
      <c r="B260" s="259" t="s">
        <v>494</v>
      </c>
      <c r="C260" s="118" t="s">
        <v>503</v>
      </c>
      <c r="D260" s="102" t="s">
        <v>504</v>
      </c>
      <c r="E260" s="170"/>
      <c r="F260" s="170"/>
      <c r="G260" s="170"/>
      <c r="H260" s="170"/>
      <c r="I260" s="170"/>
      <c r="J260" s="170"/>
      <c r="K260" s="170"/>
      <c r="L260" s="170"/>
      <c r="M260" s="170"/>
      <c r="N260" s="170"/>
      <c r="O260" s="170"/>
      <c r="P260" s="170"/>
      <c r="Q260" s="170"/>
      <c r="R260" s="170"/>
      <c r="S260" s="170">
        <f>1*S9</f>
        <v>1</v>
      </c>
      <c r="T260" s="170">
        <f>1*T9</f>
        <v>1</v>
      </c>
      <c r="U260" s="170">
        <f>1*U9</f>
        <v>1</v>
      </c>
      <c r="V260" s="170">
        <f t="shared" ref="V260:AB260" si="64">1*V9</f>
        <v>1</v>
      </c>
      <c r="W260" s="170">
        <f t="shared" si="64"/>
        <v>1</v>
      </c>
      <c r="X260" s="170">
        <f t="shared" si="64"/>
        <v>1</v>
      </c>
      <c r="Y260" s="170">
        <f t="shared" si="64"/>
        <v>1</v>
      </c>
      <c r="Z260" s="170">
        <f t="shared" si="64"/>
        <v>1</v>
      </c>
      <c r="AA260" s="170">
        <f t="shared" si="64"/>
        <v>1</v>
      </c>
      <c r="AB260" s="170">
        <f t="shared" si="64"/>
        <v>1</v>
      </c>
      <c r="AC260" s="170"/>
      <c r="AD260" s="170"/>
      <c r="AE260" s="170"/>
      <c r="AF260" s="170"/>
      <c r="AG260" s="170"/>
      <c r="AH260" s="170"/>
      <c r="AI260" s="170"/>
      <c r="AJ260" s="170"/>
      <c r="AK260" s="72" t="s">
        <v>525</v>
      </c>
      <c r="AL260" s="73"/>
      <c r="AM260" s="63">
        <f>'Import-T7.2019'!F255</f>
        <v>0</v>
      </c>
      <c r="AN260" s="182">
        <f t="shared" si="60"/>
        <v>10</v>
      </c>
      <c r="AO260" s="182">
        <f>'NG T7.2019'!F255</f>
        <v>0</v>
      </c>
      <c r="AP260" s="181">
        <f t="shared" si="61"/>
        <v>-10</v>
      </c>
      <c r="AQ260" s="194" t="s">
        <v>552</v>
      </c>
    </row>
    <row r="261" spans="1:43" ht="15" customHeight="1" x14ac:dyDescent="0.25">
      <c r="A261" s="3">
        <v>165</v>
      </c>
      <c r="B261" s="260"/>
      <c r="C261" s="118" t="s">
        <v>505</v>
      </c>
      <c r="D261" s="102" t="s">
        <v>506</v>
      </c>
      <c r="E261" s="170"/>
      <c r="F261" s="170"/>
      <c r="G261" s="170"/>
      <c r="H261" s="170"/>
      <c r="I261" s="170"/>
      <c r="J261" s="170"/>
      <c r="K261" s="170"/>
      <c r="L261" s="170"/>
      <c r="M261" s="170"/>
      <c r="N261" s="170"/>
      <c r="O261" s="170"/>
      <c r="P261" s="170"/>
      <c r="Q261" s="170"/>
      <c r="R261" s="170"/>
      <c r="S261" s="170"/>
      <c r="T261" s="170"/>
      <c r="U261" s="170"/>
      <c r="V261" s="170"/>
      <c r="W261" s="170"/>
      <c r="X261" s="170"/>
      <c r="Y261" s="170"/>
      <c r="Z261" s="170"/>
      <c r="AA261" s="170"/>
      <c r="AB261" s="170"/>
      <c r="AC261" s="170">
        <f>1*AC9</f>
        <v>1</v>
      </c>
      <c r="AD261" s="170">
        <f t="shared" ref="AD261:AJ261" si="65">1*AD9</f>
        <v>1</v>
      </c>
      <c r="AE261" s="170">
        <f t="shared" si="65"/>
        <v>1</v>
      </c>
      <c r="AF261" s="170">
        <f t="shared" si="65"/>
        <v>1</v>
      </c>
      <c r="AG261" s="170">
        <f t="shared" si="65"/>
        <v>1</v>
      </c>
      <c r="AH261" s="170">
        <f t="shared" si="65"/>
        <v>1</v>
      </c>
      <c r="AI261" s="170">
        <f t="shared" si="65"/>
        <v>1</v>
      </c>
      <c r="AJ261" s="170">
        <f t="shared" si="65"/>
        <v>1</v>
      </c>
      <c r="AK261" s="72" t="s">
        <v>525</v>
      </c>
      <c r="AL261" s="73"/>
      <c r="AM261" s="63">
        <f>'Import-T7.2019'!F256</f>
        <v>0</v>
      </c>
      <c r="AN261" s="182">
        <f t="shared" si="60"/>
        <v>8</v>
      </c>
      <c r="AO261" s="182">
        <f>'NG T7.2019'!F256</f>
        <v>0</v>
      </c>
      <c r="AP261" s="181">
        <f t="shared" si="61"/>
        <v>-8</v>
      </c>
      <c r="AQ261" s="194" t="s">
        <v>552</v>
      </c>
    </row>
    <row r="262" spans="1:43" ht="15" customHeight="1" x14ac:dyDescent="0.25">
      <c r="A262" s="3">
        <v>166</v>
      </c>
      <c r="B262" s="65" t="s">
        <v>305</v>
      </c>
      <c r="C262" s="118">
        <v>426623811</v>
      </c>
      <c r="D262" s="102" t="s">
        <v>507</v>
      </c>
      <c r="E262" s="170">
        <f>1*E9</f>
        <v>1</v>
      </c>
      <c r="F262" s="170">
        <f>1*F9</f>
        <v>1</v>
      </c>
      <c r="G262" s="170">
        <f>1*G9</f>
        <v>1</v>
      </c>
      <c r="H262" s="170">
        <f>1*H9</f>
        <v>1</v>
      </c>
      <c r="I262" s="170"/>
      <c r="J262" s="170"/>
      <c r="K262" s="170"/>
      <c r="L262" s="170"/>
      <c r="M262" s="170"/>
      <c r="N262" s="170">
        <f t="shared" ref="N262:T262" si="66">1*N9</f>
        <v>1</v>
      </c>
      <c r="O262" s="170">
        <f t="shared" si="66"/>
        <v>1</v>
      </c>
      <c r="P262" s="170">
        <f t="shared" si="66"/>
        <v>1</v>
      </c>
      <c r="Q262" s="170">
        <f t="shared" si="66"/>
        <v>1</v>
      </c>
      <c r="R262" s="170">
        <f t="shared" si="66"/>
        <v>1</v>
      </c>
      <c r="S262" s="170">
        <f t="shared" si="66"/>
        <v>1</v>
      </c>
      <c r="T262" s="170">
        <f t="shared" si="66"/>
        <v>1</v>
      </c>
      <c r="U262" s="170">
        <f>1*U9</f>
        <v>1</v>
      </c>
      <c r="V262" s="170">
        <f t="shared" ref="V262:AJ262" si="67">1*V9</f>
        <v>1</v>
      </c>
      <c r="W262" s="170">
        <f t="shared" si="67"/>
        <v>1</v>
      </c>
      <c r="X262" s="170">
        <f>1*X9</f>
        <v>1</v>
      </c>
      <c r="Y262" s="170">
        <f t="shared" si="67"/>
        <v>1</v>
      </c>
      <c r="Z262" s="170">
        <f t="shared" si="67"/>
        <v>1</v>
      </c>
      <c r="AA262" s="170">
        <f t="shared" si="67"/>
        <v>1</v>
      </c>
      <c r="AB262" s="170">
        <f t="shared" si="67"/>
        <v>1</v>
      </c>
      <c r="AC262" s="170">
        <f t="shared" si="67"/>
        <v>1</v>
      </c>
      <c r="AD262" s="170">
        <f t="shared" si="67"/>
        <v>1</v>
      </c>
      <c r="AE262" s="170">
        <f t="shared" si="67"/>
        <v>1</v>
      </c>
      <c r="AF262" s="170">
        <f t="shared" si="67"/>
        <v>1</v>
      </c>
      <c r="AG262" s="170">
        <f t="shared" si="67"/>
        <v>1</v>
      </c>
      <c r="AH262" s="170">
        <f t="shared" si="67"/>
        <v>1</v>
      </c>
      <c r="AI262" s="170">
        <f t="shared" si="67"/>
        <v>1</v>
      </c>
      <c r="AJ262" s="170">
        <f t="shared" si="67"/>
        <v>1</v>
      </c>
      <c r="AK262" s="72" t="s">
        <v>525</v>
      </c>
      <c r="AL262" s="73">
        <v>38799</v>
      </c>
      <c r="AM262" s="63">
        <f>'Import-T7.2019'!F257</f>
        <v>0</v>
      </c>
      <c r="AN262" s="182">
        <f t="shared" si="60"/>
        <v>27</v>
      </c>
      <c r="AO262" s="182">
        <f>'NG T7.2019'!F257</f>
        <v>0</v>
      </c>
      <c r="AP262" s="181">
        <f t="shared" si="61"/>
        <v>38772</v>
      </c>
      <c r="AQ262" s="194" t="s">
        <v>552</v>
      </c>
    </row>
    <row r="263" spans="1:43" ht="15" customHeight="1" x14ac:dyDescent="0.25">
      <c r="A263" s="3">
        <v>167</v>
      </c>
      <c r="B263" s="259" t="s">
        <v>508</v>
      </c>
      <c r="C263" s="118">
        <v>459464701</v>
      </c>
      <c r="D263" s="102" t="s">
        <v>509</v>
      </c>
      <c r="E263" s="170"/>
      <c r="F263" s="170"/>
      <c r="G263" s="170"/>
      <c r="H263" s="170"/>
      <c r="I263" s="170">
        <f>1*I9</f>
        <v>1</v>
      </c>
      <c r="J263" s="170">
        <f>1*J9</f>
        <v>1</v>
      </c>
      <c r="K263" s="170">
        <f>1*K9</f>
        <v>1</v>
      </c>
      <c r="L263" s="170">
        <f>1*L9</f>
        <v>1</v>
      </c>
      <c r="M263" s="170">
        <f>1*M9</f>
        <v>1</v>
      </c>
      <c r="N263" s="170"/>
      <c r="O263" s="170"/>
      <c r="P263" s="170"/>
      <c r="Q263" s="170"/>
      <c r="R263" s="170"/>
      <c r="S263" s="170"/>
      <c r="T263" s="170"/>
      <c r="U263" s="170"/>
      <c r="V263" s="170"/>
      <c r="W263" s="170"/>
      <c r="X263" s="170"/>
      <c r="Y263" s="170"/>
      <c r="Z263" s="170"/>
      <c r="AA263" s="170"/>
      <c r="AB263" s="170"/>
      <c r="AC263" s="170"/>
      <c r="AD263" s="170"/>
      <c r="AE263" s="170"/>
      <c r="AF263" s="170"/>
      <c r="AG263" s="170"/>
      <c r="AH263" s="170"/>
      <c r="AI263" s="170"/>
      <c r="AJ263" s="170"/>
      <c r="AK263" s="72" t="s">
        <v>525</v>
      </c>
      <c r="AL263" s="73">
        <v>123850</v>
      </c>
      <c r="AM263" s="63">
        <f>'Import-T7.2019'!F258</f>
        <v>43796</v>
      </c>
      <c r="AN263" s="182">
        <f t="shared" si="60"/>
        <v>5</v>
      </c>
      <c r="AO263" s="182">
        <f>'NG T7.2019'!F258</f>
        <v>0</v>
      </c>
      <c r="AP263" s="181">
        <f t="shared" si="61"/>
        <v>167641</v>
      </c>
      <c r="AQ263" s="194" t="s">
        <v>552</v>
      </c>
    </row>
    <row r="264" spans="1:43" ht="15" customHeight="1" x14ac:dyDescent="0.25">
      <c r="A264" s="3">
        <v>168</v>
      </c>
      <c r="B264" s="260"/>
      <c r="C264" s="118">
        <v>459639901</v>
      </c>
      <c r="D264" s="102" t="s">
        <v>510</v>
      </c>
      <c r="E264" s="170"/>
      <c r="F264" s="170"/>
      <c r="G264" s="170"/>
      <c r="H264" s="170"/>
      <c r="I264" s="170">
        <f>1*I9</f>
        <v>1</v>
      </c>
      <c r="J264" s="170">
        <f>1*J9</f>
        <v>1</v>
      </c>
      <c r="K264" s="170">
        <f>1*K9</f>
        <v>1</v>
      </c>
      <c r="L264" s="170">
        <f>1*L9</f>
        <v>1</v>
      </c>
      <c r="M264" s="170">
        <f>1*M9</f>
        <v>1</v>
      </c>
      <c r="N264" s="170"/>
      <c r="O264" s="170"/>
      <c r="P264" s="170"/>
      <c r="Q264" s="170"/>
      <c r="R264" s="170"/>
      <c r="S264" s="170"/>
      <c r="T264" s="170"/>
      <c r="U264" s="170"/>
      <c r="V264" s="170"/>
      <c r="W264" s="170"/>
      <c r="X264" s="170"/>
      <c r="Y264" s="170"/>
      <c r="Z264" s="170"/>
      <c r="AA264" s="170"/>
      <c r="AB264" s="170"/>
      <c r="AC264" s="170"/>
      <c r="AD264" s="170"/>
      <c r="AE264" s="170"/>
      <c r="AF264" s="170"/>
      <c r="AG264" s="170"/>
      <c r="AH264" s="170"/>
      <c r="AI264" s="170"/>
      <c r="AJ264" s="170"/>
      <c r="AK264" s="72" t="s">
        <v>525</v>
      </c>
      <c r="AL264" s="73">
        <v>107426</v>
      </c>
      <c r="AM264" s="63">
        <f>'Import-T7.2019'!F259</f>
        <v>0</v>
      </c>
      <c r="AN264" s="182">
        <f t="shared" si="60"/>
        <v>5</v>
      </c>
      <c r="AO264" s="182">
        <f>'NG T7.2019'!F259</f>
        <v>0</v>
      </c>
      <c r="AP264" s="181">
        <f t="shared" si="61"/>
        <v>107421</v>
      </c>
      <c r="AQ264" s="194" t="s">
        <v>552</v>
      </c>
    </row>
    <row r="265" spans="1:43" ht="15" customHeight="1" x14ac:dyDescent="0.25">
      <c r="A265" s="3">
        <v>169</v>
      </c>
      <c r="B265" s="190" t="s">
        <v>511</v>
      </c>
      <c r="C265" s="122" t="s">
        <v>512</v>
      </c>
      <c r="D265" s="86" t="s">
        <v>513</v>
      </c>
      <c r="E265" s="170"/>
      <c r="F265" s="170"/>
      <c r="G265" s="170"/>
      <c r="H265" s="170"/>
      <c r="I265" s="170"/>
      <c r="J265" s="170"/>
      <c r="K265" s="170"/>
      <c r="L265" s="170"/>
      <c r="M265" s="170"/>
      <c r="N265" s="170"/>
      <c r="O265" s="170"/>
      <c r="P265" s="170"/>
      <c r="Q265" s="170"/>
      <c r="R265" s="170"/>
      <c r="S265" s="170"/>
      <c r="T265" s="170"/>
      <c r="U265" s="170"/>
      <c r="V265" s="170"/>
      <c r="W265" s="170"/>
      <c r="X265" s="170"/>
      <c r="Y265" s="170"/>
      <c r="Z265" s="170"/>
      <c r="AA265" s="170"/>
      <c r="AB265" s="170"/>
      <c r="AC265" s="170"/>
      <c r="AD265" s="170"/>
      <c r="AE265" s="170"/>
      <c r="AF265" s="170"/>
      <c r="AG265" s="170"/>
      <c r="AH265" s="170"/>
      <c r="AI265" s="170"/>
      <c r="AJ265" s="170"/>
      <c r="AK265" s="72" t="s">
        <v>528</v>
      </c>
      <c r="AL265" s="73"/>
      <c r="AM265" s="63">
        <f>'Import-T7.2019'!F260</f>
        <v>0</v>
      </c>
      <c r="AN265" s="182">
        <f t="shared" si="60"/>
        <v>0</v>
      </c>
      <c r="AO265" s="182">
        <f>'NG T7.2019'!F260</f>
        <v>0</v>
      </c>
      <c r="AP265" s="181">
        <f t="shared" si="61"/>
        <v>0</v>
      </c>
      <c r="AQ265" s="194" t="s">
        <v>556</v>
      </c>
    </row>
    <row r="266" spans="1:43" ht="15" customHeight="1" x14ac:dyDescent="0.25">
      <c r="A266" s="3">
        <v>170</v>
      </c>
      <c r="B266" s="50" t="s">
        <v>497</v>
      </c>
      <c r="C266" s="125">
        <v>418814402</v>
      </c>
      <c r="D266" s="126" t="s">
        <v>514</v>
      </c>
      <c r="E266" s="173">
        <f>0.014*E9</f>
        <v>1.4E-2</v>
      </c>
      <c r="F266" s="173">
        <f>0.014*F9</f>
        <v>1.4E-2</v>
      </c>
      <c r="G266" s="173">
        <f>0.014*G9</f>
        <v>1.4E-2</v>
      </c>
      <c r="H266" s="173">
        <f>0.014*H9</f>
        <v>1.4E-2</v>
      </c>
      <c r="I266" s="173"/>
      <c r="J266" s="173"/>
      <c r="K266" s="173"/>
      <c r="L266" s="173"/>
      <c r="M266" s="173"/>
      <c r="N266" s="173"/>
      <c r="O266" s="173"/>
      <c r="P266" s="173"/>
      <c r="Q266" s="173"/>
      <c r="R266" s="173"/>
      <c r="S266" s="173"/>
      <c r="T266" s="173"/>
      <c r="U266" s="173"/>
      <c r="V266" s="173"/>
      <c r="W266" s="173"/>
      <c r="X266" s="173"/>
      <c r="Y266" s="173"/>
      <c r="Z266" s="173"/>
      <c r="AA266" s="173"/>
      <c r="AB266" s="173"/>
      <c r="AC266" s="173"/>
      <c r="AD266" s="173"/>
      <c r="AE266" s="173"/>
      <c r="AF266" s="173"/>
      <c r="AG266" s="173"/>
      <c r="AH266" s="173"/>
      <c r="AI266" s="173"/>
      <c r="AJ266" s="173"/>
      <c r="AK266" s="72" t="s">
        <v>528</v>
      </c>
      <c r="AL266" s="73">
        <v>48</v>
      </c>
      <c r="AM266" s="63">
        <f>'Import-T7.2019'!F261</f>
        <v>0</v>
      </c>
      <c r="AN266" s="182">
        <f t="shared" si="60"/>
        <v>5.6000000000000001E-2</v>
      </c>
      <c r="AO266" s="182">
        <f>'NG T7.2019'!F261</f>
        <v>0</v>
      </c>
      <c r="AP266" s="181">
        <f t="shared" si="61"/>
        <v>47.944000000000003</v>
      </c>
      <c r="AQ266" s="194" t="s">
        <v>561</v>
      </c>
    </row>
    <row r="267" spans="1:43" ht="15" customHeight="1" x14ac:dyDescent="0.25">
      <c r="A267" s="3">
        <v>171</v>
      </c>
      <c r="B267" s="65" t="s">
        <v>305</v>
      </c>
      <c r="C267" s="114">
        <v>418814402</v>
      </c>
      <c r="D267" s="92" t="s">
        <v>515</v>
      </c>
      <c r="E267" s="170">
        <f>0.14*E9</f>
        <v>0.14000000000000001</v>
      </c>
      <c r="F267" s="170">
        <f>0.14*F9</f>
        <v>0.14000000000000001</v>
      </c>
      <c r="G267" s="170">
        <f>0.14*G9</f>
        <v>0.14000000000000001</v>
      </c>
      <c r="H267" s="170">
        <f>0.14*H9</f>
        <v>0.14000000000000001</v>
      </c>
      <c r="I267" s="170"/>
      <c r="J267" s="170"/>
      <c r="K267" s="170"/>
      <c r="L267" s="170"/>
      <c r="M267" s="170"/>
      <c r="N267" s="170">
        <f t="shared" ref="N267:S267" si="68">0.14*N9</f>
        <v>0.14000000000000001</v>
      </c>
      <c r="O267" s="170">
        <f t="shared" si="68"/>
        <v>0.14000000000000001</v>
      </c>
      <c r="P267" s="170">
        <f t="shared" si="68"/>
        <v>0.14000000000000001</v>
      </c>
      <c r="Q267" s="170">
        <f t="shared" si="68"/>
        <v>0.14000000000000001</v>
      </c>
      <c r="R267" s="170">
        <f t="shared" si="68"/>
        <v>0.14000000000000001</v>
      </c>
      <c r="S267" s="170">
        <f t="shared" si="68"/>
        <v>0.14000000000000001</v>
      </c>
      <c r="T267" s="170"/>
      <c r="U267" s="170"/>
      <c r="V267" s="170"/>
      <c r="W267" s="170"/>
      <c r="X267" s="170"/>
      <c r="Y267" s="170"/>
      <c r="Z267" s="170"/>
      <c r="AA267" s="170"/>
      <c r="AB267" s="170"/>
      <c r="AC267" s="170"/>
      <c r="AD267" s="170"/>
      <c r="AE267" s="170"/>
      <c r="AF267" s="170"/>
      <c r="AG267" s="170"/>
      <c r="AH267" s="170"/>
      <c r="AI267" s="170"/>
      <c r="AJ267" s="170"/>
      <c r="AK267" s="72" t="s">
        <v>529</v>
      </c>
      <c r="AL267" s="73">
        <v>224</v>
      </c>
      <c r="AM267" s="63">
        <f>'Import-T7.2019'!F262</f>
        <v>0</v>
      </c>
      <c r="AN267" s="182">
        <f t="shared" si="60"/>
        <v>1.4000000000000004</v>
      </c>
      <c r="AO267" s="182">
        <f>'NG T7.2019'!F262</f>
        <v>0</v>
      </c>
      <c r="AP267" s="181">
        <f t="shared" si="61"/>
        <v>222.6</v>
      </c>
      <c r="AQ267" s="194" t="s">
        <v>565</v>
      </c>
    </row>
    <row r="268" spans="1:43" ht="15" customHeight="1" x14ac:dyDescent="0.25">
      <c r="A268" s="3">
        <v>172</v>
      </c>
      <c r="B268" s="50" t="s">
        <v>497</v>
      </c>
      <c r="C268" s="114">
        <v>666549701</v>
      </c>
      <c r="D268" s="92" t="s">
        <v>516</v>
      </c>
      <c r="E268" s="170"/>
      <c r="F268" s="170"/>
      <c r="G268" s="170"/>
      <c r="H268" s="170"/>
      <c r="I268" s="170">
        <f>0.045*I9</f>
        <v>4.4999999999999998E-2</v>
      </c>
      <c r="J268" s="170">
        <f>0.045*J9</f>
        <v>4.4999999999999998E-2</v>
      </c>
      <c r="K268" s="170">
        <f>0.045*K9</f>
        <v>4.4999999999999998E-2</v>
      </c>
      <c r="L268" s="170">
        <f>0.045*L9</f>
        <v>4.4999999999999998E-2</v>
      </c>
      <c r="M268" s="170">
        <f>0.045*M9</f>
        <v>4.4999999999999998E-2</v>
      </c>
      <c r="N268" s="170"/>
      <c r="O268" s="170"/>
      <c r="P268" s="170"/>
      <c r="Q268" s="170"/>
      <c r="R268" s="170"/>
      <c r="S268" s="170"/>
      <c r="T268" s="170"/>
      <c r="U268" s="170"/>
      <c r="V268" s="170"/>
      <c r="W268" s="170"/>
      <c r="X268" s="170"/>
      <c r="Y268" s="170"/>
      <c r="Z268" s="170"/>
      <c r="AA268" s="170"/>
      <c r="AB268" s="170"/>
      <c r="AC268" s="170"/>
      <c r="AD268" s="170"/>
      <c r="AE268" s="170"/>
      <c r="AF268" s="170"/>
      <c r="AG268" s="170"/>
      <c r="AH268" s="170"/>
      <c r="AI268" s="170"/>
      <c r="AJ268" s="170"/>
      <c r="AK268" s="72" t="s">
        <v>529</v>
      </c>
      <c r="AL268" s="73">
        <v>266</v>
      </c>
      <c r="AM268" s="63">
        <f>'Import-T7.2019'!F263</f>
        <v>0</v>
      </c>
      <c r="AN268" s="182">
        <f t="shared" si="60"/>
        <v>0.22499999999999998</v>
      </c>
      <c r="AO268" s="182">
        <f>'NG T7.2019'!F263</f>
        <v>0</v>
      </c>
      <c r="AP268" s="181">
        <f t="shared" si="61"/>
        <v>265.77499999999998</v>
      </c>
      <c r="AQ268" s="194" t="s">
        <v>566</v>
      </c>
    </row>
    <row r="269" spans="1:43" ht="15" customHeight="1" x14ac:dyDescent="0.25">
      <c r="A269" s="3">
        <v>173</v>
      </c>
      <c r="B269" s="65" t="s">
        <v>305</v>
      </c>
      <c r="C269" s="114">
        <v>472740901</v>
      </c>
      <c r="D269" s="92" t="s">
        <v>517</v>
      </c>
      <c r="E269" s="170">
        <f>1/6*E9</f>
        <v>0.16666666666666666</v>
      </c>
      <c r="F269" s="170">
        <f>1/6*F9</f>
        <v>0.16666666666666666</v>
      </c>
      <c r="G269" s="170">
        <f>1/6*G9</f>
        <v>0.16666666666666666</v>
      </c>
      <c r="H269" s="170">
        <f>1/6*H9</f>
        <v>0.16666666666666666</v>
      </c>
      <c r="I269" s="170"/>
      <c r="J269" s="170"/>
      <c r="K269" s="170"/>
      <c r="L269" s="170"/>
      <c r="M269" s="170"/>
      <c r="N269" s="170">
        <f>1/6*N9</f>
        <v>0.16666666666666666</v>
      </c>
      <c r="O269" s="170">
        <f>1/6*O9</f>
        <v>0.16666666666666666</v>
      </c>
      <c r="P269" s="170">
        <f>1/6*P9</f>
        <v>0.16666666666666666</v>
      </c>
      <c r="Q269" s="170">
        <f>1/6*Q9</f>
        <v>0.16666666666666666</v>
      </c>
      <c r="R269" s="170">
        <f>1/6*R9</f>
        <v>0.16666666666666666</v>
      </c>
      <c r="S269" s="170"/>
      <c r="T269" s="170"/>
      <c r="U269" s="170"/>
      <c r="V269" s="170"/>
      <c r="W269" s="170"/>
      <c r="X269" s="170">
        <f>1/6*X9</f>
        <v>0.16666666666666666</v>
      </c>
      <c r="Y269" s="170">
        <f t="shared" ref="Y269:AJ269" si="69">1/6*Y9</f>
        <v>0.16666666666666666</v>
      </c>
      <c r="Z269" s="170">
        <f t="shared" si="69"/>
        <v>0.16666666666666666</v>
      </c>
      <c r="AA269" s="170">
        <f t="shared" si="69"/>
        <v>0.16666666666666666</v>
      </c>
      <c r="AB269" s="170">
        <f t="shared" si="69"/>
        <v>0.16666666666666666</v>
      </c>
      <c r="AC269" s="170">
        <f t="shared" si="69"/>
        <v>0.16666666666666666</v>
      </c>
      <c r="AD269" s="170">
        <f t="shared" si="69"/>
        <v>0.16666666666666666</v>
      </c>
      <c r="AE269" s="170">
        <f t="shared" si="69"/>
        <v>0.16666666666666666</v>
      </c>
      <c r="AF269" s="170">
        <f t="shared" si="69"/>
        <v>0.16666666666666666</v>
      </c>
      <c r="AG269" s="170">
        <f t="shared" si="69"/>
        <v>0.16666666666666666</v>
      </c>
      <c r="AH269" s="170">
        <f t="shared" si="69"/>
        <v>0.16666666666666666</v>
      </c>
      <c r="AI269" s="170">
        <f t="shared" si="69"/>
        <v>0.16666666666666666</v>
      </c>
      <c r="AJ269" s="170">
        <f t="shared" si="69"/>
        <v>0.16666666666666666</v>
      </c>
      <c r="AK269" s="72" t="s">
        <v>530</v>
      </c>
      <c r="AL269" s="73">
        <v>52045</v>
      </c>
      <c r="AM269" s="63">
        <f>'Import-T7.2019'!F264</f>
        <v>0</v>
      </c>
      <c r="AN269" s="182">
        <f t="shared" si="60"/>
        <v>3.6666666666666652</v>
      </c>
      <c r="AO269" s="182">
        <f>'NG T7.2019'!F264</f>
        <v>0</v>
      </c>
      <c r="AP269" s="181">
        <f t="shared" si="61"/>
        <v>52041.333333333336</v>
      </c>
      <c r="AQ269" s="194" t="s">
        <v>567</v>
      </c>
    </row>
    <row r="270" spans="1:43" ht="15" customHeight="1" x14ac:dyDescent="0.25">
      <c r="A270" s="3">
        <v>174</v>
      </c>
      <c r="B270" s="50" t="s">
        <v>497</v>
      </c>
      <c r="C270" s="114">
        <v>666549701</v>
      </c>
      <c r="D270" s="92" t="s">
        <v>518</v>
      </c>
      <c r="E270" s="170"/>
      <c r="F270" s="170"/>
      <c r="G270" s="170"/>
      <c r="H270" s="170"/>
      <c r="I270" s="170">
        <f>1/6*I9</f>
        <v>0.16666666666666666</v>
      </c>
      <c r="J270" s="170">
        <f>1/6*J9</f>
        <v>0.16666666666666666</v>
      </c>
      <c r="K270" s="170">
        <f>1/6*K9</f>
        <v>0.16666666666666666</v>
      </c>
      <c r="L270" s="170">
        <f>1/6*L9</f>
        <v>0.16666666666666666</v>
      </c>
      <c r="M270" s="170">
        <f>1/6*M9</f>
        <v>0.16666666666666666</v>
      </c>
      <c r="N270" s="170"/>
      <c r="O270" s="170"/>
      <c r="P270" s="170"/>
      <c r="Q270" s="170"/>
      <c r="R270" s="170"/>
      <c r="S270" s="170"/>
      <c r="T270" s="170"/>
      <c r="U270" s="170"/>
      <c r="V270" s="170"/>
      <c r="W270" s="170"/>
      <c r="X270" s="170"/>
      <c r="Y270" s="170"/>
      <c r="Z270" s="170"/>
      <c r="AA270" s="170"/>
      <c r="AB270" s="170"/>
      <c r="AC270" s="170"/>
      <c r="AD270" s="170"/>
      <c r="AE270" s="170"/>
      <c r="AF270" s="170"/>
      <c r="AG270" s="170"/>
      <c r="AH270" s="170"/>
      <c r="AI270" s="170"/>
      <c r="AJ270" s="170"/>
      <c r="AK270" s="72" t="s">
        <v>530</v>
      </c>
      <c r="AL270" s="73">
        <v>11818</v>
      </c>
      <c r="AM270" s="63">
        <f>'Import-T7.2019'!F265</f>
        <v>0</v>
      </c>
      <c r="AN270" s="182">
        <f t="shared" si="60"/>
        <v>0.83333333333333326</v>
      </c>
      <c r="AO270" s="182">
        <f>'NG T7.2019'!F265</f>
        <v>0</v>
      </c>
      <c r="AP270" s="181">
        <f t="shared" si="61"/>
        <v>11817.166666666666</v>
      </c>
      <c r="AQ270" s="194" t="s">
        <v>567</v>
      </c>
    </row>
    <row r="271" spans="1:43" ht="15" customHeight="1" x14ac:dyDescent="0.25">
      <c r="A271" s="3">
        <v>175</v>
      </c>
      <c r="B271" s="65" t="s">
        <v>305</v>
      </c>
      <c r="C271" s="127" t="s">
        <v>519</v>
      </c>
      <c r="D271" s="92" t="s">
        <v>520</v>
      </c>
      <c r="E271" s="170">
        <f t="shared" ref="E271:R271" si="70">2.8*E9</f>
        <v>2.8</v>
      </c>
      <c r="F271" s="170">
        <f t="shared" si="70"/>
        <v>2.8</v>
      </c>
      <c r="G271" s="170">
        <f t="shared" si="70"/>
        <v>2.8</v>
      </c>
      <c r="H271" s="170">
        <f t="shared" si="70"/>
        <v>2.8</v>
      </c>
      <c r="I271" s="170">
        <f t="shared" si="70"/>
        <v>2.8</v>
      </c>
      <c r="J271" s="170">
        <f t="shared" si="70"/>
        <v>2.8</v>
      </c>
      <c r="K271" s="170">
        <f t="shared" si="70"/>
        <v>2.8</v>
      </c>
      <c r="L271" s="170">
        <f t="shared" si="70"/>
        <v>2.8</v>
      </c>
      <c r="M271" s="170">
        <f t="shared" si="70"/>
        <v>2.8</v>
      </c>
      <c r="N271" s="170">
        <f t="shared" si="70"/>
        <v>2.8</v>
      </c>
      <c r="O271" s="170">
        <f t="shared" si="70"/>
        <v>2.8</v>
      </c>
      <c r="P271" s="170">
        <f t="shared" si="70"/>
        <v>2.8</v>
      </c>
      <c r="Q271" s="170">
        <f t="shared" si="70"/>
        <v>2.8</v>
      </c>
      <c r="R271" s="170">
        <f t="shared" si="70"/>
        <v>2.8</v>
      </c>
      <c r="S271" s="170"/>
      <c r="T271" s="170"/>
      <c r="U271" s="170"/>
      <c r="V271" s="170"/>
      <c r="W271" s="170"/>
      <c r="X271" s="170">
        <f>2.8*X9</f>
        <v>2.8</v>
      </c>
      <c r="Y271" s="170">
        <f t="shared" ref="Y271:AJ271" si="71">2.8*Y9</f>
        <v>2.8</v>
      </c>
      <c r="Z271" s="170">
        <f t="shared" si="71"/>
        <v>2.8</v>
      </c>
      <c r="AA271" s="170">
        <f t="shared" si="71"/>
        <v>2.8</v>
      </c>
      <c r="AB271" s="170">
        <f t="shared" si="71"/>
        <v>2.8</v>
      </c>
      <c r="AC271" s="170">
        <f t="shared" si="71"/>
        <v>2.8</v>
      </c>
      <c r="AD271" s="170">
        <f t="shared" si="71"/>
        <v>2.8</v>
      </c>
      <c r="AE271" s="170">
        <f t="shared" si="71"/>
        <v>2.8</v>
      </c>
      <c r="AF271" s="170">
        <f t="shared" si="71"/>
        <v>2.8</v>
      </c>
      <c r="AG271" s="170">
        <f t="shared" si="71"/>
        <v>2.8</v>
      </c>
      <c r="AH271" s="170">
        <f t="shared" si="71"/>
        <v>2.8</v>
      </c>
      <c r="AI271" s="170">
        <f t="shared" si="71"/>
        <v>2.8</v>
      </c>
      <c r="AJ271" s="170">
        <f t="shared" si="71"/>
        <v>2.8</v>
      </c>
      <c r="AK271" s="72" t="s">
        <v>525</v>
      </c>
      <c r="AL271" s="73">
        <v>365</v>
      </c>
      <c r="AM271" s="63">
        <f>'Import-T7.2019'!F266</f>
        <v>0</v>
      </c>
      <c r="AN271" s="182">
        <f t="shared" si="60"/>
        <v>75.599999999999966</v>
      </c>
      <c r="AO271" s="182">
        <f>'NG T7.2019'!F266</f>
        <v>0</v>
      </c>
      <c r="AP271" s="181">
        <f t="shared" si="61"/>
        <v>289.40000000000003</v>
      </c>
      <c r="AQ271" s="131" t="s">
        <v>568</v>
      </c>
    </row>
    <row r="272" spans="1:43" ht="15" customHeight="1" x14ac:dyDescent="0.25">
      <c r="A272" s="3">
        <v>176</v>
      </c>
      <c r="B272" s="65" t="s">
        <v>305</v>
      </c>
      <c r="C272" s="124" t="s">
        <v>521</v>
      </c>
      <c r="D272" s="86" t="s">
        <v>522</v>
      </c>
      <c r="E272" s="170"/>
      <c r="F272" s="170"/>
      <c r="G272" s="170"/>
      <c r="H272" s="170"/>
      <c r="I272" s="170"/>
      <c r="J272" s="170"/>
      <c r="K272" s="170"/>
      <c r="L272" s="170"/>
      <c r="M272" s="170"/>
      <c r="N272" s="170"/>
      <c r="O272" s="170"/>
      <c r="P272" s="170"/>
      <c r="Q272" s="170"/>
      <c r="R272" s="170"/>
      <c r="S272" s="170"/>
      <c r="T272" s="170"/>
      <c r="U272" s="170"/>
      <c r="V272" s="170"/>
      <c r="W272" s="170"/>
      <c r="X272" s="170"/>
      <c r="Y272" s="170"/>
      <c r="Z272" s="170"/>
      <c r="AA272" s="170"/>
      <c r="AB272" s="170"/>
      <c r="AC272" s="170"/>
      <c r="AD272" s="170"/>
      <c r="AE272" s="170"/>
      <c r="AF272" s="170"/>
      <c r="AG272" s="170"/>
      <c r="AH272" s="170"/>
      <c r="AI272" s="170"/>
      <c r="AJ272" s="170"/>
      <c r="AK272" s="72" t="s">
        <v>525</v>
      </c>
      <c r="AL272" s="73">
        <v>27</v>
      </c>
      <c r="AM272" s="63">
        <f>'Import-T7.2019'!F267</f>
        <v>0</v>
      </c>
      <c r="AN272" s="182">
        <f t="shared" si="60"/>
        <v>0</v>
      </c>
      <c r="AO272" s="182">
        <f>'NG T7.2019'!F267</f>
        <v>0</v>
      </c>
      <c r="AP272" s="181">
        <f t="shared" si="61"/>
        <v>27</v>
      </c>
      <c r="AQ272" s="131" t="s">
        <v>556</v>
      </c>
    </row>
    <row r="273" spans="1:43" ht="15" customHeight="1" x14ac:dyDescent="0.25">
      <c r="A273" s="3">
        <v>177</v>
      </c>
      <c r="B273" s="65" t="s">
        <v>305</v>
      </c>
      <c r="C273" s="127" t="s">
        <v>523</v>
      </c>
      <c r="D273" s="88" t="s">
        <v>524</v>
      </c>
      <c r="E273" s="170">
        <f>1/3840*E9</f>
        <v>2.6041666666666666E-4</v>
      </c>
      <c r="F273" s="170">
        <f>1/3840*F9</f>
        <v>2.6041666666666666E-4</v>
      </c>
      <c r="G273" s="170">
        <f>1/3840*G9</f>
        <v>2.6041666666666666E-4</v>
      </c>
      <c r="H273" s="170">
        <f>1/3840*H9</f>
        <v>2.6041666666666666E-4</v>
      </c>
      <c r="I273" s="170">
        <f>1/6000*I9</f>
        <v>1.6666666666666666E-4</v>
      </c>
      <c r="J273" s="170">
        <f>1/6000*J9</f>
        <v>1.6666666666666666E-4</v>
      </c>
      <c r="K273" s="170">
        <f>1/6000*K9</f>
        <v>1.6666666666666666E-4</v>
      </c>
      <c r="L273" s="170">
        <f>1/6000*L9</f>
        <v>1.6666666666666666E-4</v>
      </c>
      <c r="M273" s="170">
        <f>1/6000*M9</f>
        <v>1.6666666666666666E-4</v>
      </c>
      <c r="N273" s="170">
        <f>1/3840*N9</f>
        <v>2.6041666666666666E-4</v>
      </c>
      <c r="O273" s="170">
        <f>1/3840*O9</f>
        <v>2.6041666666666666E-4</v>
      </c>
      <c r="P273" s="170">
        <f>1/3840*P9</f>
        <v>2.6041666666666666E-4</v>
      </c>
      <c r="Q273" s="170">
        <f>1/3840*Q9</f>
        <v>2.6041666666666666E-4</v>
      </c>
      <c r="R273" s="170">
        <f>1/3840*R9</f>
        <v>2.6041666666666666E-4</v>
      </c>
      <c r="S273" s="170">
        <f>1/6000*S9</f>
        <v>1.6666666666666666E-4</v>
      </c>
      <c r="T273" s="170">
        <f>1/6000*T9</f>
        <v>1.6666666666666666E-4</v>
      </c>
      <c r="U273" s="170">
        <f>1/6000*U9</f>
        <v>1.6666666666666666E-4</v>
      </c>
      <c r="V273" s="170">
        <f>1/6000*V9</f>
        <v>1.6666666666666666E-4</v>
      </c>
      <c r="W273" s="170">
        <f>1/6000*W9</f>
        <v>1.6666666666666666E-4</v>
      </c>
      <c r="X273" s="170">
        <f>1/4320*X9</f>
        <v>2.3148148148148149E-4</v>
      </c>
      <c r="Y273" s="170">
        <f>1/4320*Y9</f>
        <v>2.3148148148148149E-4</v>
      </c>
      <c r="Z273" s="170">
        <f>1/4320*Z9</f>
        <v>2.3148148148148149E-4</v>
      </c>
      <c r="AA273" s="170">
        <f>1/4320*AA9</f>
        <v>2.3148148148148149E-4</v>
      </c>
      <c r="AB273" s="170">
        <f>1/4320*AB9</f>
        <v>2.3148148148148149E-4</v>
      </c>
      <c r="AC273" s="170">
        <f t="shared" ref="AC273:AJ273" si="72">1/3840*AC9</f>
        <v>2.6041666666666666E-4</v>
      </c>
      <c r="AD273" s="170">
        <f t="shared" si="72"/>
        <v>2.6041666666666666E-4</v>
      </c>
      <c r="AE273" s="170">
        <f t="shared" si="72"/>
        <v>2.6041666666666666E-4</v>
      </c>
      <c r="AF273" s="170">
        <f t="shared" si="72"/>
        <v>2.6041666666666666E-4</v>
      </c>
      <c r="AG273" s="170">
        <f t="shared" si="72"/>
        <v>2.6041666666666666E-4</v>
      </c>
      <c r="AH273" s="170">
        <f t="shared" si="72"/>
        <v>2.6041666666666666E-4</v>
      </c>
      <c r="AI273" s="170">
        <f t="shared" si="72"/>
        <v>2.6041666666666666E-4</v>
      </c>
      <c r="AJ273" s="170">
        <f t="shared" si="72"/>
        <v>2.6041666666666666E-4</v>
      </c>
      <c r="AK273" s="72" t="s">
        <v>525</v>
      </c>
      <c r="AL273" s="73">
        <v>46</v>
      </c>
      <c r="AM273" s="63">
        <f>'Import-T7.2019'!F268</f>
        <v>0</v>
      </c>
      <c r="AN273" s="197">
        <f t="shared" si="60"/>
        <v>7.2511574074074084E-3</v>
      </c>
      <c r="AO273" s="182">
        <f>'NG T7.2019'!F268</f>
        <v>0</v>
      </c>
      <c r="AP273" s="183">
        <f t="shared" si="61"/>
        <v>45.99274884259259</v>
      </c>
      <c r="AQ273" s="131" t="s">
        <v>569</v>
      </c>
    </row>
    <row r="274" spans="1:43" ht="15" customHeight="1" x14ac:dyDescent="0.25">
      <c r="A274" s="3">
        <v>178</v>
      </c>
      <c r="B274" s="65" t="s">
        <v>497</v>
      </c>
      <c r="C274" s="124">
        <v>469425301</v>
      </c>
      <c r="D274" s="123" t="s">
        <v>535</v>
      </c>
      <c r="E274" s="170"/>
      <c r="F274" s="170"/>
      <c r="G274" s="170"/>
      <c r="H274" s="170"/>
      <c r="I274" s="170">
        <f>1*I9</f>
        <v>1</v>
      </c>
      <c r="J274" s="170">
        <f>1*J9</f>
        <v>1</v>
      </c>
      <c r="K274" s="170">
        <f>1*K9</f>
        <v>1</v>
      </c>
      <c r="L274" s="170">
        <f>1*L9</f>
        <v>1</v>
      </c>
      <c r="M274" s="170">
        <f>1*M9</f>
        <v>1</v>
      </c>
      <c r="N274" s="170"/>
      <c r="O274" s="170"/>
      <c r="P274" s="170"/>
      <c r="Q274" s="170"/>
      <c r="R274" s="170"/>
      <c r="S274" s="170"/>
      <c r="T274" s="170"/>
      <c r="U274" s="170"/>
      <c r="V274" s="170"/>
      <c r="W274" s="170"/>
      <c r="X274" s="170"/>
      <c r="Y274" s="170"/>
      <c r="Z274" s="170"/>
      <c r="AA274" s="170"/>
      <c r="AB274" s="170"/>
      <c r="AC274" s="170"/>
      <c r="AD274" s="170"/>
      <c r="AE274" s="170"/>
      <c r="AF274" s="170"/>
      <c r="AG274" s="170"/>
      <c r="AH274" s="170"/>
      <c r="AI274" s="170"/>
      <c r="AJ274" s="170"/>
      <c r="AK274" s="72" t="s">
        <v>525</v>
      </c>
      <c r="AL274" s="73">
        <v>109550</v>
      </c>
      <c r="AM274" s="63">
        <f>'Import-T7.2019'!F269</f>
        <v>0</v>
      </c>
      <c r="AN274" s="182">
        <f t="shared" si="60"/>
        <v>5</v>
      </c>
      <c r="AO274" s="182">
        <f>'NG T7.2019'!F269</f>
        <v>0</v>
      </c>
      <c r="AP274" s="181">
        <f t="shared" si="61"/>
        <v>109545</v>
      </c>
      <c r="AQ274" s="131" t="s">
        <v>563</v>
      </c>
    </row>
  </sheetData>
  <autoFilter ref="A6:AQ274" xr:uid="{00000000-0009-0000-0000-00000000000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</autoFilter>
  <mergeCells count="23">
    <mergeCell ref="AT8:AW8"/>
    <mergeCell ref="AT1:AW1"/>
    <mergeCell ref="AT2:AW2"/>
    <mergeCell ref="AT3:AW3"/>
    <mergeCell ref="AL6:AL7"/>
    <mergeCell ref="AM6:AM7"/>
    <mergeCell ref="AN6:AN7"/>
    <mergeCell ref="AO6:AO7"/>
    <mergeCell ref="AP6:AP7"/>
    <mergeCell ref="AT6:AW6"/>
    <mergeCell ref="AT7:AW7"/>
    <mergeCell ref="AQ6:AQ7"/>
    <mergeCell ref="A8:AQ8"/>
    <mergeCell ref="E6:AJ6"/>
    <mergeCell ref="A6:A7"/>
    <mergeCell ref="B6:B7"/>
    <mergeCell ref="B263:B264"/>
    <mergeCell ref="A94:AP94"/>
    <mergeCell ref="C6:C7"/>
    <mergeCell ref="D6:D7"/>
    <mergeCell ref="A1:D1"/>
    <mergeCell ref="A2:D2"/>
    <mergeCell ref="B260:B261"/>
  </mergeCells>
  <phoneticPr fontId="21" type="noConversion"/>
  <conditionalFormatting sqref="AP10:AP93">
    <cfRule type="cellIs" dxfId="1" priority="2" operator="lessThan">
      <formula>0</formula>
    </cfRule>
  </conditionalFormatting>
  <conditionalFormatting sqref="AP95:AP274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1E0DC-BB52-4771-83CF-EF0DA2D866D4}">
  <sheetPr codeName="Sheet2"/>
  <dimension ref="B2:S94"/>
  <sheetViews>
    <sheetView workbookViewId="0">
      <selection activeCell="C11" sqref="C11"/>
    </sheetView>
  </sheetViews>
  <sheetFormatPr defaultRowHeight="17.399999999999999" x14ac:dyDescent="0.4"/>
  <cols>
    <col min="3" max="3" width="20.3984375" customWidth="1"/>
    <col min="4" max="4" width="21" customWidth="1"/>
    <col min="5" max="5" width="13.59765625" customWidth="1"/>
    <col min="6" max="6" width="18.5" customWidth="1"/>
    <col min="7" max="7" width="10.69921875" bestFit="1" customWidth="1"/>
    <col min="11" max="11" width="16.19921875" customWidth="1"/>
    <col min="14" max="14" width="17.69921875" customWidth="1"/>
    <col min="19" max="19" width="18.09765625" customWidth="1"/>
  </cols>
  <sheetData>
    <row r="2" spans="2:19" x14ac:dyDescent="0.4">
      <c r="B2" s="198"/>
      <c r="C2" s="198"/>
      <c r="D2" s="199"/>
      <c r="E2" s="199"/>
      <c r="F2" s="198"/>
      <c r="G2" s="200" t="s">
        <v>599</v>
      </c>
      <c r="H2" s="200"/>
      <c r="I2" s="200"/>
      <c r="J2" s="200"/>
      <c r="K2" s="200"/>
      <c r="L2" s="200"/>
    </row>
    <row r="3" spans="2:19" x14ac:dyDescent="0.4">
      <c r="B3" s="198"/>
      <c r="C3" s="198"/>
      <c r="D3" s="199"/>
      <c r="E3" s="199"/>
      <c r="F3" s="198"/>
      <c r="G3" s="200" t="s">
        <v>600</v>
      </c>
      <c r="H3" s="200"/>
      <c r="I3" s="200"/>
      <c r="J3" s="200"/>
      <c r="K3" s="200"/>
      <c r="L3" s="200"/>
    </row>
    <row r="4" spans="2:19" x14ac:dyDescent="0.4">
      <c r="B4" s="198"/>
      <c r="C4" s="198"/>
      <c r="D4" s="199"/>
      <c r="E4" s="199"/>
      <c r="F4" s="198"/>
      <c r="G4" s="200" t="s">
        <v>601</v>
      </c>
      <c r="H4" s="200"/>
      <c r="I4" s="200"/>
      <c r="J4" s="200"/>
      <c r="K4" s="200"/>
      <c r="L4" s="200"/>
    </row>
    <row r="5" spans="2:19" x14ac:dyDescent="0.4">
      <c r="B5" s="198"/>
      <c r="C5" s="198"/>
      <c r="D5" s="199"/>
      <c r="E5" s="199"/>
      <c r="F5" s="198"/>
      <c r="G5" s="201" t="s">
        <v>602</v>
      </c>
      <c r="H5" s="201"/>
      <c r="I5" s="201"/>
      <c r="J5" s="201"/>
      <c r="K5" s="201"/>
      <c r="L5" s="201"/>
    </row>
    <row r="6" spans="2:19" ht="18" thickBot="1" x14ac:dyDescent="0.45">
      <c r="B6" s="202" t="s">
        <v>603</v>
      </c>
      <c r="C6" s="203" t="s">
        <v>604</v>
      </c>
      <c r="D6" s="204"/>
      <c r="E6" s="204"/>
      <c r="F6" s="198"/>
      <c r="G6" s="205" t="s">
        <v>605</v>
      </c>
      <c r="H6" s="206" t="s">
        <v>605</v>
      </c>
      <c r="I6" s="207"/>
      <c r="J6" s="280" t="s">
        <v>606</v>
      </c>
      <c r="K6" s="281"/>
      <c r="L6" s="281"/>
    </row>
    <row r="7" spans="2:19" x14ac:dyDescent="0.4">
      <c r="B7" s="282" t="s">
        <v>607</v>
      </c>
      <c r="C7" s="284" t="s">
        <v>608</v>
      </c>
      <c r="D7" s="284"/>
      <c r="E7" s="284"/>
      <c r="F7" s="284"/>
      <c r="G7" s="284"/>
      <c r="H7" s="286" t="s">
        <v>609</v>
      </c>
      <c r="I7" s="287"/>
      <c r="J7" s="209">
        <f ca="1">TODAY()</f>
        <v>43691</v>
      </c>
      <c r="K7" s="210"/>
      <c r="L7" s="211"/>
    </row>
    <row r="8" spans="2:19" x14ac:dyDescent="0.4">
      <c r="B8" s="283"/>
      <c r="C8" s="285"/>
      <c r="D8" s="285"/>
      <c r="E8" s="285"/>
      <c r="F8" s="285"/>
      <c r="G8" s="285"/>
      <c r="H8" s="288" t="s">
        <v>610</v>
      </c>
      <c r="I8" s="289"/>
      <c r="J8" s="290" t="s">
        <v>611</v>
      </c>
      <c r="K8" s="291"/>
      <c r="L8" s="292"/>
    </row>
    <row r="9" spans="2:19" ht="18" thickBot="1" x14ac:dyDescent="0.45">
      <c r="B9" s="212" t="s">
        <v>612</v>
      </c>
      <c r="C9" s="297"/>
      <c r="D9" s="297"/>
      <c r="E9" s="213" t="s">
        <v>613</v>
      </c>
      <c r="F9" s="297"/>
      <c r="G9" s="297"/>
      <c r="H9" s="298" t="s">
        <v>614</v>
      </c>
      <c r="I9" s="299"/>
      <c r="J9" s="300" t="s">
        <v>615</v>
      </c>
      <c r="K9" s="300"/>
      <c r="L9" s="301"/>
    </row>
    <row r="10" spans="2:19" x14ac:dyDescent="0.4">
      <c r="B10" s="214" t="s">
        <v>616</v>
      </c>
      <c r="C10" s="215" t="s">
        <v>3</v>
      </c>
      <c r="D10" s="215" t="s">
        <v>617</v>
      </c>
      <c r="E10" s="215" t="s">
        <v>618</v>
      </c>
      <c r="F10" s="215" t="s">
        <v>619</v>
      </c>
      <c r="G10" s="216" t="s">
        <v>620</v>
      </c>
      <c r="H10" s="217" t="s">
        <v>621</v>
      </c>
      <c r="I10" s="218" t="s">
        <v>622</v>
      </c>
      <c r="J10" s="218" t="s">
        <v>623</v>
      </c>
      <c r="K10" s="219" t="s">
        <v>624</v>
      </c>
      <c r="L10" s="220" t="s">
        <v>625</v>
      </c>
      <c r="S10" t="s">
        <v>640</v>
      </c>
    </row>
    <row r="11" spans="2:19" x14ac:dyDescent="0.4">
      <c r="B11" s="221" t="s">
        <v>626</v>
      </c>
      <c r="C11" s="222" t="str">
        <f>IFERROR(INDEX('Total-T7.2019'!B$10:B$93,1/LARGE(INDEX(('Total-T7.2019'!AQ$10:AQ$93=N$11)*('Total-T7.2019'!AP$10:AP$93&lt;0)/ROW('Total-T7.2019'!AQ$10:AQ$93),),ROW(A1))-9),"")</f>
        <v>CAP - PLUG L2 EX14, EX15, E9</v>
      </c>
      <c r="D11" s="256" t="str">
        <f>IFERROR(INDEX('Total-T7.2019'!D$10:D$93,1/LARGE(INDEX(('Total-T7.2019'!AQ$10:AQ$93=N$11)*('Total-T7.2019'!AP$10:AP$93&lt;0)/ROW('Total-T7.2019'!AQ$10:AQ$93),),ROW(A1))-9),"")</f>
        <v>CAP - BZ</v>
      </c>
      <c r="E11" s="257" t="str">
        <f>IFERROR(INDEX('Total-T7.2019'!C$10:C$93,1/LARGE(INDEX(('Total-T7.2019'!AQ$10:AQ$93=N$11)*('Total-T7.2019'!AP$10:AP$93&lt;0)/ROW('Total-T7.2019'!AQ$10:AQ$93),),ROW(A1))-9),"")</f>
        <v>EX14-CAPT-11</v>
      </c>
      <c r="F11" s="222"/>
      <c r="G11" s="224">
        <f>IFERROR(INDEX('Total-T7.2019'!AP$10:AP$93,1/LARGE(INDEX(('Total-T7.2019'!AQ$10:AQ$93=N$11)*('Total-T7.2019'!AP$10:AP$93&lt;0)/ROW('Total-T7.2019'!AQ$10:AQ$93),),ROW(A1))-9),"")</f>
        <v>-4</v>
      </c>
      <c r="H11" s="225" t="str">
        <f>IFERROR(INDEX('Total-T7.2019'!AK$10:AK$93,1/LARGE(INDEX(('Total-T7.2019'!AQ$10:AQ$93=N$11)*('Total-T7.2019'!AP$10:AP$93&lt;0)/ROW('Total-T7.2019'!AQ$10:AQ$93),),ROW(A1))-9),"")</f>
        <v>PCS</v>
      </c>
      <c r="I11" s="226"/>
      <c r="J11" s="227">
        <f>IFERROR(G11*I11,"")</f>
        <v>0</v>
      </c>
      <c r="K11" s="228"/>
      <c r="L11" s="229"/>
      <c r="N11" t="s">
        <v>552</v>
      </c>
      <c r="S11" s="252" t="s">
        <v>561</v>
      </c>
    </row>
    <row r="12" spans="2:19" x14ac:dyDescent="0.4">
      <c r="B12" s="221" t="str">
        <f>B11</f>
        <v>-</v>
      </c>
      <c r="C12" s="222" t="str">
        <f>IFERROR(INDEX('Total-T7.2019'!B$10:B$93,1/LARGE(INDEX(('Total-T7.2019'!AQ$10:AQ$93=N$11)*('Total-T7.2019'!AP$10:AP$93&lt;0)/ROW('Total-T7.2019'!AQ$10:AQ$93),),ROW(A2))-9),"")</f>
        <v>CAP - PLUG L2 EX14, EX15, E9</v>
      </c>
      <c r="D12" s="256" t="str">
        <f>IFERROR(INDEX('Total-T7.2019'!D$10:D$93,1/LARGE(INDEX(('Total-T7.2019'!AQ$10:AQ$93=N$11)*('Total-T7.2019'!AP$10:AP$93&lt;0)/ROW('Total-T7.2019'!AQ$10:AQ$93),),ROW(A2))-9),"")</f>
        <v>CAP - WZ</v>
      </c>
      <c r="E12" s="257" t="str">
        <f>IFERROR(INDEX('Total-T7.2019'!C$10:C$93,1/LARGE(INDEX(('Total-T7.2019'!AQ$10:AQ$93=N$11)*('Total-T7.2019'!AP$10:AP$93&lt;0)/ROW('Total-T7.2019'!AQ$10:AQ$93),),ROW(A2))-9),"")</f>
        <v>EX14-CAPT-21</v>
      </c>
      <c r="F12" s="222"/>
      <c r="G12" s="224">
        <f>IFERROR(INDEX('Total-T7.2019'!AP$10:AP$93,1/LARGE(INDEX(('Total-T7.2019'!AQ$10:AQ$93=N$11)*('Total-T7.2019'!AP$10:AP$93&lt;0)/ROW('Total-T7.2019'!AQ$10:AQ$93),),ROW(A2))-9),"")</f>
        <v>-4</v>
      </c>
      <c r="H12" s="225" t="str">
        <f>IFERROR(INDEX('Total-T7.2019'!AK$10:AK$93,1/LARGE(INDEX(('Total-T7.2019'!AQ$10:AQ$93=N$11)*('Total-T7.2019'!AP$10:AP$93&lt;0)/ROW('Total-T7.2019'!AQ$10:AQ$93),),ROW(A2))-9),"")</f>
        <v>PCS</v>
      </c>
      <c r="I12" s="226"/>
      <c r="J12" s="227">
        <f t="shared" ref="J12:J33" si="0">IFERROR(G12*I12,"")</f>
        <v>0</v>
      </c>
      <c r="K12" s="228"/>
      <c r="L12" s="229"/>
      <c r="S12" s="253" t="s">
        <v>551</v>
      </c>
    </row>
    <row r="13" spans="2:19" x14ac:dyDescent="0.4">
      <c r="B13" s="221" t="str">
        <f t="shared" ref="B13:B28" si="1">B12</f>
        <v>-</v>
      </c>
      <c r="C13" s="222" t="str">
        <f>IFERROR(INDEX('Total-T7.2019'!B$10:B$93,1/LARGE(INDEX(('Total-T7.2019'!AQ$10:AQ$93=N$11)*('Total-T7.2019'!AP$10:AP$93&lt;0)/ROW('Total-T7.2019'!AQ$10:AQ$93),),ROW(A3))-9),"")</f>
        <v>CAP - PLUG L2 EX14, EX15, E9</v>
      </c>
      <c r="D13" s="256" t="str">
        <f>IFERROR(INDEX('Total-T7.2019'!D$10:D$93,1/LARGE(INDEX(('Total-T7.2019'!AQ$10:AQ$93=N$11)*('Total-T7.2019'!AP$10:AP$93&lt;0)/ROW('Total-T7.2019'!AQ$10:AQ$93),),ROW(A3))-9),"")</f>
        <v>CAP - PZ</v>
      </c>
      <c r="E13" s="257" t="str">
        <f>IFERROR(INDEX('Total-T7.2019'!C$10:C$93,1/LARGE(INDEX(('Total-T7.2019'!AQ$10:AQ$93=N$11)*('Total-T7.2019'!AP$10:AP$93&lt;0)/ROW('Total-T7.2019'!AQ$10:AQ$93),),ROW(A3))-9),"")</f>
        <v>EX14-CAPT-31</v>
      </c>
      <c r="F13" s="222"/>
      <c r="G13" s="224">
        <f>IFERROR(INDEX('Total-T7.2019'!AP$10:AP$93,1/LARGE(INDEX(('Total-T7.2019'!AQ$10:AQ$93=N$11)*('Total-T7.2019'!AP$10:AP$93&lt;0)/ROW('Total-T7.2019'!AQ$10:AQ$93),),ROW(A3))-9),"")</f>
        <v>-2</v>
      </c>
      <c r="H13" s="225" t="str">
        <f>IFERROR(INDEX('Total-T7.2019'!AK$10:AK$93,1/LARGE(INDEX(('Total-T7.2019'!AQ$10:AQ$93=N$11)*('Total-T7.2019'!AP$10:AP$93&lt;0)/ROW('Total-T7.2019'!AQ$10:AQ$93),),ROW(A3))-9),"")</f>
        <v>PCS</v>
      </c>
      <c r="I13" s="226"/>
      <c r="J13" s="227">
        <f t="shared" si="0"/>
        <v>0</v>
      </c>
      <c r="K13" s="228"/>
      <c r="L13" s="229"/>
      <c r="S13" s="252" t="s">
        <v>552</v>
      </c>
    </row>
    <row r="14" spans="2:19" x14ac:dyDescent="0.4">
      <c r="B14" s="221" t="str">
        <f t="shared" si="1"/>
        <v>-</v>
      </c>
      <c r="C14" s="222" t="str">
        <f>IFERROR(INDEX('Total-T7.2019'!B$10:B$93,1/LARGE(INDEX(('Total-T7.2019'!AQ$10:AQ$93=N$11)*('Total-T7.2019'!AP$10:AP$93&lt;0)/ROW('Total-T7.2019'!AQ$10:AQ$93),),ROW(A4))-9),"")</f>
        <v>CAP - PLUG L2 EX14, EX15, E9</v>
      </c>
      <c r="D14" s="256" t="str">
        <f>IFERROR(INDEX('Total-T7.2019'!D$10:D$93,1/LARGE(INDEX(('Total-T7.2019'!AQ$10:AQ$93=N$11)*('Total-T7.2019'!AP$10:AP$93&lt;0)/ROW('Total-T7.2019'!AQ$10:AQ$93),),ROW(A4))-9),"")</f>
        <v>CAP - LIZ</v>
      </c>
      <c r="E14" s="257" t="str">
        <f>IFERROR(INDEX('Total-T7.2019'!C$10:C$93,1/LARGE(INDEX(('Total-T7.2019'!AQ$10:AQ$93=N$11)*('Total-T7.2019'!AP$10:AP$93&lt;0)/ROW('Total-T7.2019'!AQ$10:AQ$93),),ROW(A4))-9),"")</f>
        <v>EX14-CAPT-41</v>
      </c>
      <c r="F14" s="222"/>
      <c r="G14" s="224">
        <f>IFERROR(INDEX('Total-T7.2019'!AP$10:AP$93,1/LARGE(INDEX(('Total-T7.2019'!AQ$10:AQ$93=N$11)*('Total-T7.2019'!AP$10:AP$93&lt;0)/ROW('Total-T7.2019'!AQ$10:AQ$93),),ROW(A4))-9),"")</f>
        <v>-4</v>
      </c>
      <c r="H14" s="225" t="str">
        <f>IFERROR(INDEX('Total-T7.2019'!AK$10:AK$93,1/LARGE(INDEX(('Total-T7.2019'!AQ$10:AQ$93=N$11)*('Total-T7.2019'!AP$10:AP$93&lt;0)/ROW('Total-T7.2019'!AQ$10:AQ$93),),ROW(A4))-9),"")</f>
        <v>PCS</v>
      </c>
      <c r="I14" s="226"/>
      <c r="J14" s="227">
        <f t="shared" si="0"/>
        <v>0</v>
      </c>
      <c r="K14" s="228"/>
      <c r="L14" s="229"/>
      <c r="S14" s="140" t="s">
        <v>553</v>
      </c>
    </row>
    <row r="15" spans="2:19" x14ac:dyDescent="0.4">
      <c r="B15" s="221" t="str">
        <f t="shared" si="1"/>
        <v>-</v>
      </c>
      <c r="C15" s="222" t="str">
        <f>IFERROR(INDEX('Total-T7.2019'!B$10:B$93,1/LARGE(INDEX(('Total-T7.2019'!AQ$10:AQ$93=N$11)*('Total-T7.2019'!AP$10:AP$93&lt;0)/ROW('Total-T7.2019'!AQ$10:AQ$93),),ROW(A5))-9),"")</f>
        <v>CAP - PLUG L2 EX14, EX15, E9</v>
      </c>
      <c r="D15" s="256" t="str">
        <f>IFERROR(INDEX('Total-T7.2019'!D$10:D$93,1/LARGE(INDEX(('Total-T7.2019'!AQ$10:AQ$93=N$11)*('Total-T7.2019'!AP$10:AP$93&lt;0)/ROW('Total-T7.2019'!AQ$10:AQ$93),),ROW(A5))-9),"")</f>
        <v>CAP - VZ</v>
      </c>
      <c r="E15" s="257" t="str">
        <f>IFERROR(INDEX('Total-T7.2019'!C$10:C$93,1/LARGE(INDEX(('Total-T7.2019'!AQ$10:AQ$93=N$11)*('Total-T7.2019'!AP$10:AP$93&lt;0)/ROW('Total-T7.2019'!AQ$10:AQ$93),),ROW(A5))-9),"")</f>
        <v>EX14-CAPT-51</v>
      </c>
      <c r="F15" s="222"/>
      <c r="G15" s="224">
        <f>IFERROR(INDEX('Total-T7.2019'!AP$10:AP$93,1/LARGE(INDEX(('Total-T7.2019'!AQ$10:AQ$93=N$11)*('Total-T7.2019'!AP$10:AP$93&lt;0)/ROW('Total-T7.2019'!AQ$10:AQ$93),),ROW(A5))-9),"")</f>
        <v>-2</v>
      </c>
      <c r="H15" s="225" t="str">
        <f>IFERROR(INDEX('Total-T7.2019'!AK$10:AK$93,1/LARGE(INDEX(('Total-T7.2019'!AQ$10:AQ$93=N$11)*('Total-T7.2019'!AP$10:AP$93&lt;0)/ROW('Total-T7.2019'!AQ$10:AQ$93),),ROW(A5))-9),"")</f>
        <v>PCS</v>
      </c>
      <c r="I15" s="226"/>
      <c r="J15" s="227">
        <f t="shared" si="0"/>
        <v>0</v>
      </c>
      <c r="K15" s="228"/>
      <c r="L15" s="229"/>
      <c r="S15" s="252" t="s">
        <v>554</v>
      </c>
    </row>
    <row r="16" spans="2:19" x14ac:dyDescent="0.4">
      <c r="B16" s="221" t="str">
        <f t="shared" si="1"/>
        <v>-</v>
      </c>
      <c r="C16" s="222" t="str">
        <f>IFERROR(INDEX('Total-T7.2019'!B$10:B$93,1/LARGE(INDEX(('Total-T7.2019'!AQ$10:AQ$93=N$11)*('Total-T7.2019'!AP$10:AP$93&lt;0)/ROW('Total-T7.2019'!AQ$10:AQ$93),),ROW(A6))-9),"")</f>
        <v xml:space="preserve">SLIDER EX14 </v>
      </c>
      <c r="D16" s="256" t="str">
        <f>IFERROR(INDEX('Total-T7.2019'!D$10:D$93,1/LARGE(INDEX(('Total-T7.2019'!AQ$10:AQ$93=N$11)*('Total-T7.2019'!AP$10:AP$93&lt;0)/ROW('Total-T7.2019'!AQ$10:AQ$93),),ROW(A6))-9),"")</f>
        <v>SLIDER / BZ</v>
      </c>
      <c r="E16" s="257" t="str">
        <f>IFERROR(INDEX('Total-T7.2019'!C$10:C$93,1/LARGE(INDEX(('Total-T7.2019'!AQ$10:AQ$93=N$11)*('Total-T7.2019'!AP$10:AP$93&lt;0)/ROW('Total-T7.2019'!AQ$10:AQ$93),),ROW(A6))-9),"")</f>
        <v>EX14-SLID-11</v>
      </c>
      <c r="F16" s="222"/>
      <c r="G16" s="224">
        <f>IFERROR(INDEX('Total-T7.2019'!AP$10:AP$93,1/LARGE(INDEX(('Total-T7.2019'!AQ$10:AQ$93=N$11)*('Total-T7.2019'!AP$10:AP$93&lt;0)/ROW('Total-T7.2019'!AQ$10:AQ$93),),ROW(A6))-9),"")</f>
        <v>-3</v>
      </c>
      <c r="H16" s="225" t="str">
        <f>IFERROR(INDEX('Total-T7.2019'!AK$10:AK$93,1/LARGE(INDEX(('Total-T7.2019'!AQ$10:AQ$93=N$11)*('Total-T7.2019'!AP$10:AP$93&lt;0)/ROW('Total-T7.2019'!AQ$10:AQ$93),),ROW(A6))-9),"")</f>
        <v>PCS</v>
      </c>
      <c r="I16" s="226"/>
      <c r="J16" s="227">
        <f t="shared" si="0"/>
        <v>0</v>
      </c>
      <c r="K16" s="228"/>
      <c r="L16" s="229"/>
      <c r="S16" s="140" t="s">
        <v>555</v>
      </c>
    </row>
    <row r="17" spans="2:19" x14ac:dyDescent="0.4">
      <c r="B17" s="221" t="str">
        <f t="shared" si="1"/>
        <v>-</v>
      </c>
      <c r="C17" s="222" t="str">
        <f>IFERROR(INDEX('Total-T7.2019'!B$10:B$93,1/LARGE(INDEX(('Total-T7.2019'!AQ$10:AQ$93=N$11)*('Total-T7.2019'!AP$10:AP$93&lt;0)/ROW('Total-T7.2019'!AQ$10:AQ$93),),ROW(A7))-9),"")</f>
        <v xml:space="preserve">SLIDER EX14 </v>
      </c>
      <c r="D17" s="256" t="str">
        <f>IFERROR(INDEX('Total-T7.2019'!D$10:D$93,1/LARGE(INDEX(('Total-T7.2019'!AQ$10:AQ$93=N$11)*('Total-T7.2019'!AP$10:AP$93&lt;0)/ROW('Total-T7.2019'!AQ$10:AQ$93),),ROW(A7))-9),"")</f>
        <v>SLIDER / LIZ</v>
      </c>
      <c r="E17" s="257" t="str">
        <f>IFERROR(INDEX('Total-T7.2019'!C$10:C$93,1/LARGE(INDEX(('Total-T7.2019'!AQ$10:AQ$93=N$11)*('Total-T7.2019'!AP$10:AP$93&lt;0)/ROW('Total-T7.2019'!AQ$10:AQ$93),),ROW(A7))-9),"")</f>
        <v>EX14-SLID-41</v>
      </c>
      <c r="F17" s="222"/>
      <c r="G17" s="224">
        <f>IFERROR(INDEX('Total-T7.2019'!AP$10:AP$93,1/LARGE(INDEX(('Total-T7.2019'!AQ$10:AQ$93=N$11)*('Total-T7.2019'!AP$10:AP$93&lt;0)/ROW('Total-T7.2019'!AQ$10:AQ$93),),ROW(A7))-9),"")</f>
        <v>-3</v>
      </c>
      <c r="H17" s="225" t="str">
        <f>IFERROR(INDEX('Total-T7.2019'!AK$10:AK$93,1/LARGE(INDEX(('Total-T7.2019'!AQ$10:AQ$93=N$11)*('Total-T7.2019'!AP$10:AP$93&lt;0)/ROW('Total-T7.2019'!AQ$10:AQ$93),),ROW(A7))-9),"")</f>
        <v>PCS</v>
      </c>
      <c r="I17" s="226"/>
      <c r="J17" s="227">
        <f t="shared" si="0"/>
        <v>0</v>
      </c>
      <c r="K17" s="228"/>
      <c r="L17" s="229"/>
      <c r="S17" s="252" t="s">
        <v>556</v>
      </c>
    </row>
    <row r="18" spans="2:19" x14ac:dyDescent="0.4">
      <c r="B18" s="221" t="str">
        <f t="shared" si="1"/>
        <v>-</v>
      </c>
      <c r="C18" s="222" t="str">
        <f>IFERROR(INDEX('Total-T7.2019'!B$10:B$93,1/LARGE(INDEX(('Total-T7.2019'!AQ$10:AQ$93=N$11)*('Total-T7.2019'!AP$10:AP$93&lt;0)/ROW('Total-T7.2019'!AQ$10:AQ$93),),ROW(A8))-9),"")</f>
        <v xml:space="preserve">SLIDER EX14 </v>
      </c>
      <c r="D18" s="256" t="str">
        <f>IFERROR(INDEX('Total-T7.2019'!D$10:D$93,1/LARGE(INDEX(('Total-T7.2019'!AQ$10:AQ$93=N$11)*('Total-T7.2019'!AP$10:AP$93&lt;0)/ROW('Total-T7.2019'!AQ$10:AQ$93),),ROW(A8))-9),"")</f>
        <v>SLIDER / VZ</v>
      </c>
      <c r="E18" s="257" t="str">
        <f>IFERROR(INDEX('Total-T7.2019'!C$10:C$93,1/LARGE(INDEX(('Total-T7.2019'!AQ$10:AQ$93=N$11)*('Total-T7.2019'!AP$10:AP$93&lt;0)/ROW('Total-T7.2019'!AQ$10:AQ$93),),ROW(A8))-9),"")</f>
        <v>EX14-SLID-51</v>
      </c>
      <c r="F18" s="222"/>
      <c r="G18" s="224">
        <f>IFERROR(INDEX('Total-T7.2019'!AP$10:AP$93,1/LARGE(INDEX(('Total-T7.2019'!AQ$10:AQ$93=N$11)*('Total-T7.2019'!AP$10:AP$93&lt;0)/ROW('Total-T7.2019'!AQ$10:AQ$93),),ROW(A8))-9),"")</f>
        <v>-1</v>
      </c>
      <c r="H18" s="225" t="str">
        <f>IFERROR(INDEX('Total-T7.2019'!AK$10:AK$93,1/LARGE(INDEX(('Total-T7.2019'!AQ$10:AQ$93=N$11)*('Total-T7.2019'!AP$10:AP$93&lt;0)/ROW('Total-T7.2019'!AQ$10:AQ$93),),ROW(A8))-9),"")</f>
        <v>PCS</v>
      </c>
      <c r="I18" s="226"/>
      <c r="J18" s="227">
        <f t="shared" si="0"/>
        <v>0</v>
      </c>
      <c r="K18" s="228"/>
      <c r="L18" s="229"/>
      <c r="S18" s="140" t="s">
        <v>557</v>
      </c>
    </row>
    <row r="19" spans="2:19" x14ac:dyDescent="0.4">
      <c r="B19" s="221" t="str">
        <f t="shared" si="1"/>
        <v>-</v>
      </c>
      <c r="C19" s="222" t="str">
        <f>IFERROR(INDEX('Total-T7.2019'!B$10:B$93,1/LARGE(INDEX(('Total-T7.2019'!AQ$10:AQ$93=N$11)*('Total-T7.2019'!AP$10:AP$93&lt;0)/ROW('Total-T7.2019'!AQ$10:AQ$93),),ROW(A9))-9),"")</f>
        <v>SLIDER EX15</v>
      </c>
      <c r="D19" s="256" t="str">
        <f>IFERROR(INDEX('Total-T7.2019'!D$10:D$93,1/LARGE(INDEX(('Total-T7.2019'!AQ$10:AQ$93=N$11)*('Total-T7.2019'!AP$10:AP$93&lt;0)/ROW('Total-T7.2019'!AQ$10:AQ$93),),ROW(A9))-9),"")</f>
        <v>SLIDER/PZ1</v>
      </c>
      <c r="E19" s="257" t="str">
        <f>IFERROR(INDEX('Total-T7.2019'!C$10:C$93,1/LARGE(INDEX(('Total-T7.2019'!AQ$10:AQ$93=N$11)*('Total-T7.2019'!AP$10:AP$93&lt;0)/ROW('Total-T7.2019'!AQ$10:AQ$93),),ROW(A9))-9),"")</f>
        <v>EX15-SLID-31</v>
      </c>
      <c r="F19" s="222"/>
      <c r="G19" s="224">
        <f>IFERROR(INDEX('Total-T7.2019'!AP$10:AP$93,1/LARGE(INDEX(('Total-T7.2019'!AQ$10:AQ$93=N$11)*('Total-T7.2019'!AP$10:AP$93&lt;0)/ROW('Total-T7.2019'!AQ$10:AQ$93),),ROW(A9))-9),"")</f>
        <v>-1</v>
      </c>
      <c r="H19" s="225" t="str">
        <f>IFERROR(INDEX('Total-T7.2019'!AK$10:AK$93,1/LARGE(INDEX(('Total-T7.2019'!AQ$10:AQ$93=N$11)*('Total-T7.2019'!AP$10:AP$93&lt;0)/ROW('Total-T7.2019'!AQ$10:AQ$93),),ROW(A9))-9),"")</f>
        <v>PCS</v>
      </c>
      <c r="I19" s="226"/>
      <c r="J19" s="227">
        <f t="shared" si="0"/>
        <v>0</v>
      </c>
      <c r="K19" s="228"/>
      <c r="L19" s="229"/>
      <c r="S19" s="140" t="s">
        <v>558</v>
      </c>
    </row>
    <row r="20" spans="2:19" x14ac:dyDescent="0.4">
      <c r="B20" s="221" t="str">
        <f t="shared" si="1"/>
        <v>-</v>
      </c>
      <c r="C20" s="222" t="str">
        <f>IFERROR(INDEX('Total-T7.2019'!B$10:B$93,1/LARGE(INDEX(('Total-T7.2019'!AQ$10:AQ$93=N$11)*('Total-T7.2019'!AP$10:AP$93&lt;0)/ROW('Total-T7.2019'!AQ$10:AQ$93),),ROW(A10))-9),"")</f>
        <v>SLIDER EX15</v>
      </c>
      <c r="D20" s="256" t="str">
        <f>IFERROR(INDEX('Total-T7.2019'!D$10:D$93,1/LARGE(INDEX(('Total-T7.2019'!AQ$10:AQ$93=N$11)*('Total-T7.2019'!AP$10:AP$93&lt;0)/ROW('Total-T7.2019'!AQ$10:AQ$93),),ROW(A10))-9),"")</f>
        <v>SLIDER/VZ1</v>
      </c>
      <c r="E20" s="257" t="str">
        <f>IFERROR(INDEX('Total-T7.2019'!C$10:C$93,1/LARGE(INDEX(('Total-T7.2019'!AQ$10:AQ$93=N$11)*('Total-T7.2019'!AP$10:AP$93&lt;0)/ROW('Total-T7.2019'!AQ$10:AQ$93),),ROW(A10))-9),"")</f>
        <v>EX15-SLID-51</v>
      </c>
      <c r="F20" s="222"/>
      <c r="G20" s="224">
        <f>IFERROR(INDEX('Total-T7.2019'!AP$10:AP$93,1/LARGE(INDEX(('Total-T7.2019'!AQ$10:AQ$93=N$11)*('Total-T7.2019'!AP$10:AP$93&lt;0)/ROW('Total-T7.2019'!AQ$10:AQ$93),),ROW(A10))-9),"")</f>
        <v>-1</v>
      </c>
      <c r="H20" s="225" t="str">
        <f>IFERROR(INDEX('Total-T7.2019'!AK$10:AK$93,1/LARGE(INDEX(('Total-T7.2019'!AQ$10:AQ$93=N$11)*('Total-T7.2019'!AP$10:AP$93&lt;0)/ROW('Total-T7.2019'!AQ$10:AQ$93),),ROW(A10))-9),"")</f>
        <v>PCS</v>
      </c>
      <c r="I20" s="226"/>
      <c r="J20" s="227">
        <f t="shared" si="0"/>
        <v>0</v>
      </c>
      <c r="K20" s="228"/>
      <c r="L20" s="229"/>
      <c r="S20" s="140" t="s">
        <v>559</v>
      </c>
    </row>
    <row r="21" spans="2:19" x14ac:dyDescent="0.4">
      <c r="B21" s="221" t="str">
        <f t="shared" si="1"/>
        <v>-</v>
      </c>
      <c r="C21" s="222" t="str">
        <f>IFERROR(INDEX('Total-T7.2019'!B$10:B$93,1/LARGE(INDEX(('Total-T7.2019'!AQ$10:AQ$93=N$11)*('Total-T7.2019'!AP$10:AP$93&lt;0)/ROW('Total-T7.2019'!AQ$10:AQ$93),),ROW(A11))-9),"")</f>
        <v/>
      </c>
      <c r="D21" s="256" t="str">
        <f>IFERROR(INDEX('Total-T7.2019'!D$10:D$93,1/LARGE(INDEX(('Total-T7.2019'!AQ$10:AQ$93=N$11)*('Total-T7.2019'!AP$10:AP$93&lt;0)/ROW('Total-T7.2019'!AQ$10:AQ$93),),ROW(A11))-9),"")</f>
        <v/>
      </c>
      <c r="E21" s="257" t="str">
        <f>IFERROR(INDEX('Total-T7.2019'!C$10:C$93,1/LARGE(INDEX(('Total-T7.2019'!AQ$10:AQ$93=N$11)*('Total-T7.2019'!AP$10:AP$93&lt;0)/ROW('Total-T7.2019'!AQ$10:AQ$93),),ROW(A11))-9),"")</f>
        <v/>
      </c>
      <c r="F21" s="222"/>
      <c r="G21" s="224" t="str">
        <f>IFERROR(INDEX('Total-T7.2019'!AP$10:AP$93,1/LARGE(INDEX(('Total-T7.2019'!AQ$10:AQ$93=N$11)*('Total-T7.2019'!AP$10:AP$93&lt;0)/ROW('Total-T7.2019'!AQ$10:AQ$93),),ROW(A11))-9),"")</f>
        <v/>
      </c>
      <c r="H21" s="225" t="str">
        <f>IFERROR(INDEX('Total-T7.2019'!AK$10:AK$93,1/LARGE(INDEX(('Total-T7.2019'!AQ$10:AQ$93=N$11)*('Total-T7.2019'!AP$10:AP$93&lt;0)/ROW('Total-T7.2019'!AQ$10:AQ$93),),ROW(A11))-9),"")</f>
        <v/>
      </c>
      <c r="I21" s="226"/>
      <c r="J21" s="227" t="str">
        <f t="shared" si="0"/>
        <v/>
      </c>
      <c r="K21" s="228"/>
      <c r="L21" s="229"/>
      <c r="S21" s="252" t="s">
        <v>560</v>
      </c>
    </row>
    <row r="22" spans="2:19" x14ac:dyDescent="0.4">
      <c r="B22" s="221" t="str">
        <f t="shared" si="1"/>
        <v>-</v>
      </c>
      <c r="C22" s="222" t="str">
        <f>IFERROR(INDEX('Total-T7.2019'!B$10:B$93,1/LARGE(INDEX(('Total-T7.2019'!AQ$10:AQ$93=N$11)*('Total-T7.2019'!AP$10:AP$93&lt;0)/ROW('Total-T7.2019'!AQ$10:AQ$93),),ROW(A12))-9),"")</f>
        <v/>
      </c>
      <c r="D22" s="256" t="str">
        <f>IFERROR(INDEX('Total-T7.2019'!D$10:D$93,1/LARGE(INDEX(('Total-T7.2019'!AQ$10:AQ$93=N$11)*('Total-T7.2019'!AP$10:AP$93&lt;0)/ROW('Total-T7.2019'!AQ$10:AQ$93),),ROW(A12))-9),"")</f>
        <v/>
      </c>
      <c r="E22" s="257" t="str">
        <f>IFERROR(INDEX('Total-T7.2019'!C$10:C$93,1/LARGE(INDEX(('Total-T7.2019'!AQ$10:AQ$93=N$11)*('Total-T7.2019'!AP$10:AP$93&lt;0)/ROW('Total-T7.2019'!AQ$10:AQ$93),),ROW(A12))-9),"")</f>
        <v/>
      </c>
      <c r="F22" s="222"/>
      <c r="G22" s="224" t="str">
        <f>IFERROR(INDEX('Total-T7.2019'!AP$10:AP$93,1/LARGE(INDEX(('Total-T7.2019'!AQ$10:AQ$93=N$11)*('Total-T7.2019'!AP$10:AP$93&lt;0)/ROW('Total-T7.2019'!AQ$10:AQ$93),),ROW(A12))-9),"")</f>
        <v/>
      </c>
      <c r="H22" s="225" t="str">
        <f>IFERROR(INDEX('Total-T7.2019'!AK$10:AK$93,1/LARGE(INDEX(('Total-T7.2019'!AQ$10:AQ$93=N$11)*('Total-T7.2019'!AP$10:AP$93&lt;0)/ROW('Total-T7.2019'!AQ$10:AQ$93),),ROW(A12))-9),"")</f>
        <v/>
      </c>
      <c r="I22" s="226"/>
      <c r="J22" s="227" t="str">
        <f t="shared" si="0"/>
        <v/>
      </c>
      <c r="K22" s="230"/>
      <c r="L22" s="231"/>
      <c r="S22" s="254"/>
    </row>
    <row r="23" spans="2:19" x14ac:dyDescent="0.4">
      <c r="B23" s="221" t="str">
        <f t="shared" si="1"/>
        <v>-</v>
      </c>
      <c r="C23" s="222" t="str">
        <f>IFERROR(INDEX('Total-T7.2019'!B$10:B$93,1/LARGE(INDEX(('Total-T7.2019'!AQ$10:AQ$93=N$11)*('Total-T7.2019'!AP$10:AP$93&lt;0)/ROW('Total-T7.2019'!AQ$10:AQ$93),),ROW(A13))-9),"")</f>
        <v/>
      </c>
      <c r="D23" s="256" t="str">
        <f>IFERROR(INDEX('Total-T7.2019'!D$10:D$93,1/LARGE(INDEX(('Total-T7.2019'!AQ$10:AQ$93=N$11)*('Total-T7.2019'!AP$10:AP$93&lt;0)/ROW('Total-T7.2019'!AQ$10:AQ$93),),ROW(A13))-9),"")</f>
        <v/>
      </c>
      <c r="E23" s="257" t="str">
        <f>IFERROR(INDEX('Total-T7.2019'!C$10:C$93,1/LARGE(INDEX(('Total-T7.2019'!AQ$10:AQ$93=N$11)*('Total-T7.2019'!AP$10:AP$93&lt;0)/ROW('Total-T7.2019'!AQ$10:AQ$93),),ROW(A13))-9),"")</f>
        <v/>
      </c>
      <c r="F23" s="222"/>
      <c r="G23" s="224" t="str">
        <f>IFERROR(INDEX('Total-T7.2019'!AP$10:AP$93,1/LARGE(INDEX(('Total-T7.2019'!AQ$10:AQ$93=N$11)*('Total-T7.2019'!AP$10:AP$93&lt;0)/ROW('Total-T7.2019'!AQ$10:AQ$93),),ROW(A13))-9),"")</f>
        <v/>
      </c>
      <c r="H23" s="225" t="str">
        <f>IFERROR(INDEX('Total-T7.2019'!AK$10:AK$93,1/LARGE(INDEX(('Total-T7.2019'!AQ$10:AQ$93=N$11)*('Total-T7.2019'!AP$10:AP$93&lt;0)/ROW('Total-T7.2019'!AQ$10:AQ$93),),ROW(A13))-9),"")</f>
        <v/>
      </c>
      <c r="I23" s="226"/>
      <c r="J23" s="227" t="str">
        <f t="shared" si="0"/>
        <v/>
      </c>
      <c r="K23" s="232"/>
      <c r="L23" s="233"/>
      <c r="S23" s="254"/>
    </row>
    <row r="24" spans="2:19" x14ac:dyDescent="0.4">
      <c r="B24" s="221" t="str">
        <f t="shared" si="1"/>
        <v>-</v>
      </c>
      <c r="C24" s="222" t="str">
        <f>IFERROR(INDEX('Total-T7.2019'!B$10:B$93,1/LARGE(INDEX(('Total-T7.2019'!AQ$10:AQ$93=N$11)*('Total-T7.2019'!AP$10:AP$93&lt;0)/ROW('Total-T7.2019'!AQ$10:AQ$93),),ROW(A14))-9),"")</f>
        <v/>
      </c>
      <c r="D24" s="256" t="str">
        <f>IFERROR(INDEX('Total-T7.2019'!D$10:D$93,1/LARGE(INDEX(('Total-T7.2019'!AQ$10:AQ$93=N$11)*('Total-T7.2019'!AP$10:AP$93&lt;0)/ROW('Total-T7.2019'!AQ$10:AQ$93),),ROW(A14))-9),"")</f>
        <v/>
      </c>
      <c r="E24" s="257" t="str">
        <f>IFERROR(INDEX('Total-T7.2019'!C$10:C$93,1/LARGE(INDEX(('Total-T7.2019'!AQ$10:AQ$93=N$11)*('Total-T7.2019'!AP$10:AP$93&lt;0)/ROW('Total-T7.2019'!AQ$10:AQ$93),),ROW(A14))-9),"")</f>
        <v/>
      </c>
      <c r="F24" s="222"/>
      <c r="G24" s="224" t="str">
        <f>IFERROR(INDEX('Total-T7.2019'!AP$10:AP$93,1/LARGE(INDEX(('Total-T7.2019'!AQ$10:AQ$93=N$11)*('Total-T7.2019'!AP$10:AP$93&lt;0)/ROW('Total-T7.2019'!AQ$10:AQ$93),),ROW(A14))-9),"")</f>
        <v/>
      </c>
      <c r="H24" s="225" t="str">
        <f>IFERROR(INDEX('Total-T7.2019'!AK$10:AK$93,1/LARGE(INDEX(('Total-T7.2019'!AQ$10:AQ$93=N$11)*('Total-T7.2019'!AP$10:AP$93&lt;0)/ROW('Total-T7.2019'!AQ$10:AQ$93),),ROW(A14))-9),"")</f>
        <v/>
      </c>
      <c r="I24" s="226"/>
      <c r="J24" s="227" t="str">
        <f t="shared" si="0"/>
        <v/>
      </c>
      <c r="K24" s="232"/>
      <c r="L24" s="233"/>
      <c r="S24" s="254"/>
    </row>
    <row r="25" spans="2:19" x14ac:dyDescent="0.4">
      <c r="B25" s="221" t="str">
        <f t="shared" si="1"/>
        <v>-</v>
      </c>
      <c r="C25" s="222" t="str">
        <f>IFERROR(INDEX('Total-T7.2019'!B$10:B$93,1/LARGE(INDEX(('Total-T7.2019'!AQ$10:AQ$93=N$11)*('Total-T7.2019'!AP$10:AP$93&lt;0)/ROW('Total-T7.2019'!AQ$10:AQ$93),),ROW(A15))-9),"")</f>
        <v/>
      </c>
      <c r="D25" s="256" t="str">
        <f>IFERROR(INDEX('Total-T7.2019'!D$10:D$93,1/LARGE(INDEX(('Total-T7.2019'!AQ$10:AQ$93=N$11)*('Total-T7.2019'!AP$10:AP$93&lt;0)/ROW('Total-T7.2019'!AQ$10:AQ$93),),ROW(A15))-9),"")</f>
        <v/>
      </c>
      <c r="E25" s="257" t="str">
        <f>IFERROR(INDEX('Total-T7.2019'!C$10:C$93,1/LARGE(INDEX(('Total-T7.2019'!AQ$10:AQ$93=N$11)*('Total-T7.2019'!AP$10:AP$93&lt;0)/ROW('Total-T7.2019'!AQ$10:AQ$93),),ROW(A15))-9),"")</f>
        <v/>
      </c>
      <c r="F25" s="222"/>
      <c r="G25" s="224" t="str">
        <f>IFERROR(INDEX('Total-T7.2019'!AP$10:AP$93,1/LARGE(INDEX(('Total-T7.2019'!AQ$10:AQ$93=N$11)*('Total-T7.2019'!AP$10:AP$93&lt;0)/ROW('Total-T7.2019'!AQ$10:AQ$93),),ROW(A15))-9),"")</f>
        <v/>
      </c>
      <c r="H25" s="225" t="str">
        <f>IFERROR(INDEX('Total-T7.2019'!AK$10:AK$93,1/LARGE(INDEX(('Total-T7.2019'!AQ$10:AQ$93=N$11)*('Total-T7.2019'!AP$10:AP$93&lt;0)/ROW('Total-T7.2019'!AQ$10:AQ$93),),ROW(A15))-9),"")</f>
        <v/>
      </c>
      <c r="I25" s="226"/>
      <c r="J25" s="227" t="str">
        <f t="shared" si="0"/>
        <v/>
      </c>
      <c r="K25" s="232"/>
      <c r="L25" s="233"/>
      <c r="S25" s="254"/>
    </row>
    <row r="26" spans="2:19" x14ac:dyDescent="0.4">
      <c r="B26" s="221" t="str">
        <f t="shared" si="1"/>
        <v>-</v>
      </c>
      <c r="C26" s="222" t="str">
        <f>IFERROR(INDEX('Total-T7.2019'!B$10:B$93,1/LARGE(INDEX(('Total-T7.2019'!AQ$10:AQ$93=N$11)*('Total-T7.2019'!AP$10:AP$93&lt;0)/ROW('Total-T7.2019'!AQ$10:AQ$93),),ROW(A16))-9),"")</f>
        <v/>
      </c>
      <c r="D26" s="256" t="str">
        <f>IFERROR(INDEX('Total-T7.2019'!D$10:D$93,1/LARGE(INDEX(('Total-T7.2019'!AQ$10:AQ$93=N$11)*('Total-T7.2019'!AP$10:AP$93&lt;0)/ROW('Total-T7.2019'!AQ$10:AQ$93),),ROW(A16))-9),"")</f>
        <v/>
      </c>
      <c r="E26" s="257" t="str">
        <f>IFERROR(INDEX('Total-T7.2019'!C$10:C$93,1/LARGE(INDEX(('Total-T7.2019'!AQ$10:AQ$93=N$11)*('Total-T7.2019'!AP$10:AP$93&lt;0)/ROW('Total-T7.2019'!AQ$10:AQ$93),),ROW(A16))-9),"")</f>
        <v/>
      </c>
      <c r="F26" s="222"/>
      <c r="G26" s="224" t="str">
        <f>IFERROR(INDEX('Total-T7.2019'!AP$10:AP$93,1/LARGE(INDEX(('Total-T7.2019'!AQ$10:AQ$93=N$11)*('Total-T7.2019'!AP$10:AP$93&lt;0)/ROW('Total-T7.2019'!AQ$10:AQ$93),),ROW(A16))-9),"")</f>
        <v/>
      </c>
      <c r="H26" s="225" t="str">
        <f>IFERROR(INDEX('Total-T7.2019'!AK$10:AK$93,1/LARGE(INDEX(('Total-T7.2019'!AQ$10:AQ$93=N$11)*('Total-T7.2019'!AP$10:AP$93&lt;0)/ROW('Total-T7.2019'!AQ$10:AQ$93),),ROW(A16))-9),"")</f>
        <v/>
      </c>
      <c r="I26" s="226"/>
      <c r="J26" s="227" t="str">
        <f t="shared" si="0"/>
        <v/>
      </c>
      <c r="K26" s="232"/>
      <c r="L26" s="233"/>
      <c r="S26" s="254"/>
    </row>
    <row r="27" spans="2:19" x14ac:dyDescent="0.4">
      <c r="B27" s="221" t="str">
        <f t="shared" si="1"/>
        <v>-</v>
      </c>
      <c r="C27" s="222" t="str">
        <f>IFERROR(INDEX('Total-T7.2019'!B$10:B$93,1/LARGE(INDEX(('Total-T7.2019'!AQ$10:AQ$93=N$11)*('Total-T7.2019'!AP$10:AP$93&lt;0)/ROW('Total-T7.2019'!AQ$10:AQ$93),),ROW(A17))-9),"")</f>
        <v/>
      </c>
      <c r="D27" s="256" t="str">
        <f>IFERROR(INDEX('Total-T7.2019'!D$10:D$93,1/LARGE(INDEX(('Total-T7.2019'!AQ$10:AQ$93=N$11)*('Total-T7.2019'!AP$10:AP$93&lt;0)/ROW('Total-T7.2019'!AQ$10:AQ$93),),ROW(A17))-9),"")</f>
        <v/>
      </c>
      <c r="E27" s="257" t="str">
        <f>IFERROR(INDEX('Total-T7.2019'!C$10:C$93,1/LARGE(INDEX(('Total-T7.2019'!AQ$10:AQ$93=N$11)*('Total-T7.2019'!AP$10:AP$93&lt;0)/ROW('Total-T7.2019'!AQ$10:AQ$93),),ROW(A17))-9),"")</f>
        <v/>
      </c>
      <c r="F27" s="222"/>
      <c r="G27" s="224" t="str">
        <f>IFERROR(INDEX('Total-T7.2019'!AP$10:AP$93,1/LARGE(INDEX(('Total-T7.2019'!AQ$10:AQ$93=N$11)*('Total-T7.2019'!AP$10:AP$93&lt;0)/ROW('Total-T7.2019'!AQ$10:AQ$93),),ROW(A17))-9),"")</f>
        <v/>
      </c>
      <c r="H27" s="225" t="str">
        <f>IFERROR(INDEX('Total-T7.2019'!AK$10:AK$93,1/LARGE(INDEX(('Total-T7.2019'!AQ$10:AQ$93=N$11)*('Total-T7.2019'!AP$10:AP$93&lt;0)/ROW('Total-T7.2019'!AQ$10:AQ$93),),ROW(A17))-9),"")</f>
        <v/>
      </c>
      <c r="I27" s="226"/>
      <c r="J27" s="227" t="str">
        <f t="shared" si="0"/>
        <v/>
      </c>
      <c r="K27" s="232"/>
      <c r="L27" s="233"/>
      <c r="S27" s="254"/>
    </row>
    <row r="28" spans="2:19" x14ac:dyDescent="0.4">
      <c r="B28" s="221" t="str">
        <f t="shared" si="1"/>
        <v>-</v>
      </c>
      <c r="C28" s="222" t="str">
        <f>IFERROR(INDEX('Total-T7.2019'!B$10:B$93,1/LARGE(INDEX(('Total-T7.2019'!AQ$10:AQ$93=N$11)*('Total-T7.2019'!AP$10:AP$93&lt;0)/ROW('Total-T7.2019'!AQ$10:AQ$93),),ROW(A18))-9),"")</f>
        <v/>
      </c>
      <c r="D28" s="256" t="str">
        <f>IFERROR(INDEX('Total-T7.2019'!D$10:D$93,1/LARGE(INDEX(('Total-T7.2019'!AQ$10:AQ$93=N$11)*('Total-T7.2019'!AP$10:AP$93&lt;0)/ROW('Total-T7.2019'!AQ$10:AQ$93),),ROW(A18))-9),"")</f>
        <v/>
      </c>
      <c r="E28" s="257" t="str">
        <f>IFERROR(INDEX('Total-T7.2019'!C$10:C$93,1/LARGE(INDEX(('Total-T7.2019'!AQ$10:AQ$93=N$11)*('Total-T7.2019'!AP$10:AP$93&lt;0)/ROW('Total-T7.2019'!AQ$10:AQ$93),),ROW(A18))-9),"")</f>
        <v/>
      </c>
      <c r="F28" s="222"/>
      <c r="G28" s="224" t="str">
        <f>IFERROR(INDEX('Total-T7.2019'!AP$10:AP$93,1/LARGE(INDEX(('Total-T7.2019'!AQ$10:AQ$93=N$11)*('Total-T7.2019'!AP$10:AP$93&lt;0)/ROW('Total-T7.2019'!AQ$10:AQ$93),),ROW(A18))-9),"")</f>
        <v/>
      </c>
      <c r="H28" s="225" t="str">
        <f>IFERROR(INDEX('Total-T7.2019'!AK$10:AK$93,1/LARGE(INDEX(('Total-T7.2019'!AQ$10:AQ$93=N$11)*('Total-T7.2019'!AP$10:AP$93&lt;0)/ROW('Total-T7.2019'!AQ$10:AQ$93),),ROW(A18))-9),"")</f>
        <v/>
      </c>
      <c r="I28" s="226"/>
      <c r="J28" s="227" t="str">
        <f t="shared" si="0"/>
        <v/>
      </c>
      <c r="K28" s="232"/>
      <c r="L28" s="233"/>
      <c r="S28" s="254"/>
    </row>
    <row r="29" spans="2:19" x14ac:dyDescent="0.4">
      <c r="B29" s="221" t="str">
        <f t="shared" ref="B29:B33" si="2">B28</f>
        <v>-</v>
      </c>
      <c r="C29" s="222" t="str">
        <f>IFERROR(INDEX('Total-T7.2019'!B$10:B$93,1/LARGE(INDEX(('Total-T7.2019'!AQ$10:AQ$93=N$11)*('Total-T7.2019'!AP$10:AP$93&lt;0)/ROW('Total-T7.2019'!AQ$10:AQ$93),),ROW(A19))-9),"")</f>
        <v/>
      </c>
      <c r="D29" s="256" t="str">
        <f>IFERROR(INDEX('Total-T7.2019'!D$10:D$93,1/LARGE(INDEX(('Total-T7.2019'!AQ$10:AQ$93=N$11)*('Total-T7.2019'!AP$10:AP$93&lt;0)/ROW('Total-T7.2019'!AQ$10:AQ$93),),ROW(A19))-9),"")</f>
        <v/>
      </c>
      <c r="E29" s="257" t="str">
        <f>IFERROR(INDEX('Total-T7.2019'!C$10:C$93,1/LARGE(INDEX(('Total-T7.2019'!AQ$10:AQ$93=N$11)*('Total-T7.2019'!AP$10:AP$93&lt;0)/ROW('Total-T7.2019'!AQ$10:AQ$93),),ROW(A19))-9),"")</f>
        <v/>
      </c>
      <c r="F29" s="234"/>
      <c r="G29" s="224" t="str">
        <f>IFERROR(INDEX('Total-T7.2019'!AP$10:AP$93,1/LARGE(INDEX(('Total-T7.2019'!AQ$10:AQ$93=N$11)*('Total-T7.2019'!AP$10:AP$93&lt;0)/ROW('Total-T7.2019'!AQ$10:AQ$93),),ROW(A19))-9),"")</f>
        <v/>
      </c>
      <c r="H29" s="225" t="str">
        <f>IFERROR(INDEX('Total-T7.2019'!AK$10:AK$93,1/LARGE(INDEX(('Total-T7.2019'!AQ$10:AQ$93=N$11)*('Total-T7.2019'!AP$10:AP$93&lt;0)/ROW('Total-T7.2019'!AQ$10:AQ$93),),ROW(A19))-9),"")</f>
        <v/>
      </c>
      <c r="I29" s="226"/>
      <c r="J29" s="227" t="str">
        <f t="shared" si="0"/>
        <v/>
      </c>
      <c r="K29" s="232"/>
      <c r="L29" s="233"/>
      <c r="S29" s="254"/>
    </row>
    <row r="30" spans="2:19" x14ac:dyDescent="0.4">
      <c r="B30" s="221" t="str">
        <f t="shared" si="2"/>
        <v>-</v>
      </c>
      <c r="C30" s="222" t="str">
        <f>IFERROR(INDEX('Total-T7.2019'!B$10:B$93,1/LARGE(INDEX(('Total-T7.2019'!AQ$10:AQ$93=N$11)*('Total-T7.2019'!AP$10:AP$93&lt;0)/ROW('Total-T7.2019'!AQ$10:AQ$93),),ROW(A20))-9),"")</f>
        <v/>
      </c>
      <c r="D30" s="256" t="str">
        <f>IFERROR(INDEX('Total-T7.2019'!D$10:D$93,1/LARGE(INDEX(('Total-T7.2019'!AQ$10:AQ$93=N$11)*('Total-T7.2019'!AP$10:AP$93&lt;0)/ROW('Total-T7.2019'!AQ$10:AQ$93),),ROW(A20))-9),"")</f>
        <v/>
      </c>
      <c r="E30" s="257" t="str">
        <f>IFERROR(INDEX('Total-T7.2019'!C$10:C$93,1/LARGE(INDEX(('Total-T7.2019'!AQ$10:AQ$93=N$11)*('Total-T7.2019'!AP$10:AP$93&lt;0)/ROW('Total-T7.2019'!AQ$10:AQ$93),),ROW(A20))-9),"")</f>
        <v/>
      </c>
      <c r="F30" s="234"/>
      <c r="G30" s="224" t="str">
        <f>IFERROR(INDEX('Total-T7.2019'!AP$10:AP$93,1/LARGE(INDEX(('Total-T7.2019'!AQ$10:AQ$93=N$11)*('Total-T7.2019'!AP$10:AP$93&lt;0)/ROW('Total-T7.2019'!AQ$10:AQ$93),),ROW(A20))-9),"")</f>
        <v/>
      </c>
      <c r="H30" s="225" t="str">
        <f>IFERROR(INDEX('Total-T7.2019'!AK$10:AK$93,1/LARGE(INDEX(('Total-T7.2019'!AQ$10:AQ$93=N$11)*('Total-T7.2019'!AP$10:AP$93&lt;0)/ROW('Total-T7.2019'!AQ$10:AQ$93),),ROW(A20))-9),"")</f>
        <v/>
      </c>
      <c r="I30" s="226"/>
      <c r="J30" s="227" t="str">
        <f t="shared" si="0"/>
        <v/>
      </c>
      <c r="K30" s="232"/>
      <c r="L30" s="233"/>
      <c r="S30" s="254"/>
    </row>
    <row r="31" spans="2:19" x14ac:dyDescent="0.4">
      <c r="B31" s="221" t="str">
        <f t="shared" si="2"/>
        <v>-</v>
      </c>
      <c r="C31" s="222" t="str">
        <f>IFERROR(INDEX('Total-T7.2019'!B$10:B$93,1/LARGE(INDEX(('Total-T7.2019'!AQ$10:AQ$93=N$11)*('Total-T7.2019'!AP$10:AP$93&lt;0)/ROW('Total-T7.2019'!AQ$10:AQ$93),),ROW(A21))-9),"")</f>
        <v/>
      </c>
      <c r="D31" s="256" t="str">
        <f>IFERROR(INDEX('Total-T7.2019'!D$10:D$93,1/LARGE(INDEX(('Total-T7.2019'!AQ$10:AQ$93=N$11)*('Total-T7.2019'!AP$10:AP$93&lt;0)/ROW('Total-T7.2019'!AQ$10:AQ$93),),ROW(A21))-9),"")</f>
        <v/>
      </c>
      <c r="E31" s="257" t="str">
        <f>IFERROR(INDEX('Total-T7.2019'!C$10:C$93,1/LARGE(INDEX(('Total-T7.2019'!AQ$10:AQ$93=N$11)*('Total-T7.2019'!AP$10:AP$93&lt;0)/ROW('Total-T7.2019'!AQ$10:AQ$93),),ROW(A21))-9),"")</f>
        <v/>
      </c>
      <c r="F31" s="222"/>
      <c r="G31" s="224" t="str">
        <f>IFERROR(INDEX('Total-T7.2019'!AP$10:AP$93,1/LARGE(INDEX(('Total-T7.2019'!AQ$10:AQ$93=N$11)*('Total-T7.2019'!AP$10:AP$93&lt;0)/ROW('Total-T7.2019'!AQ$10:AQ$93),),ROW(A21))-9),"")</f>
        <v/>
      </c>
      <c r="H31" s="225" t="str">
        <f>IFERROR(INDEX('Total-T7.2019'!AK$10:AK$93,1/LARGE(INDEX(('Total-T7.2019'!AQ$10:AQ$93=N$11)*('Total-T7.2019'!AP$10:AP$93&lt;0)/ROW('Total-T7.2019'!AQ$10:AQ$93),),ROW(A21))-9),"")</f>
        <v/>
      </c>
      <c r="I31" s="226"/>
      <c r="J31" s="227" t="str">
        <f t="shared" si="0"/>
        <v/>
      </c>
      <c r="K31" s="232"/>
      <c r="L31" s="233"/>
      <c r="S31" s="254"/>
    </row>
    <row r="32" spans="2:19" x14ac:dyDescent="0.4">
      <c r="B32" s="221" t="str">
        <f t="shared" si="2"/>
        <v>-</v>
      </c>
      <c r="C32" s="222" t="str">
        <f>IFERROR(INDEX('Total-T7.2019'!B$10:B$93,1/LARGE(INDEX(('Total-T7.2019'!AQ$10:AQ$93=N$11)*('Total-T7.2019'!AP$10:AP$93&lt;0)/ROW('Total-T7.2019'!AQ$10:AQ$93),),ROW(A22))-9),"")</f>
        <v/>
      </c>
      <c r="D32" s="256" t="str">
        <f>IFERROR(INDEX('Total-T7.2019'!D$10:D$93,1/LARGE(INDEX(('Total-T7.2019'!AQ$10:AQ$93=N$11)*('Total-T7.2019'!AP$10:AP$93&lt;0)/ROW('Total-T7.2019'!AQ$10:AQ$93),),ROW(A22))-9),"")</f>
        <v/>
      </c>
      <c r="E32" s="257" t="str">
        <f>IFERROR(INDEX('Total-T7.2019'!C$10:C$93,1/LARGE(INDEX(('Total-T7.2019'!AQ$10:AQ$93=N$11)*('Total-T7.2019'!AP$10:AP$93&lt;0)/ROW('Total-T7.2019'!AQ$10:AQ$93),),ROW(A22))-9),"")</f>
        <v/>
      </c>
      <c r="F32" s="235"/>
      <c r="G32" s="224" t="str">
        <f>IFERROR(INDEX('Total-T7.2019'!AP$10:AP$93,1/LARGE(INDEX(('Total-T7.2019'!AQ$10:AQ$93=N$11)*('Total-T7.2019'!AP$10:AP$93&lt;0)/ROW('Total-T7.2019'!AQ$10:AQ$93),),ROW(A22))-9),"")</f>
        <v/>
      </c>
      <c r="H32" s="225" t="str">
        <f>IFERROR(INDEX('Total-T7.2019'!AK$10:AK$93,1/LARGE(INDEX(('Total-T7.2019'!AQ$10:AQ$93=N$11)*('Total-T7.2019'!AP$10:AP$93&lt;0)/ROW('Total-T7.2019'!AQ$10:AQ$93),),ROW(A22))-9),"")</f>
        <v/>
      </c>
      <c r="I32" s="226"/>
      <c r="J32" s="227" t="str">
        <f t="shared" si="0"/>
        <v/>
      </c>
      <c r="K32" s="232"/>
      <c r="L32" s="233"/>
      <c r="S32" s="254"/>
    </row>
    <row r="33" spans="2:19" x14ac:dyDescent="0.4">
      <c r="B33" s="221" t="str">
        <f t="shared" si="2"/>
        <v>-</v>
      </c>
      <c r="C33" s="222" t="str">
        <f>IFERROR(INDEX('Total-T7.2019'!B$10:B$93,1/LARGE(INDEX(('Total-T7.2019'!AQ$10:AQ$93=N$11)*('Total-T7.2019'!AP$10:AP$93&lt;0)/ROW('Total-T7.2019'!AQ$10:AQ$93),),ROW(A23))-9),"")</f>
        <v/>
      </c>
      <c r="D33" s="256" t="str">
        <f>IFERROR(INDEX('Total-T7.2019'!D$10:D$93,1/LARGE(INDEX(('Total-T7.2019'!AQ$10:AQ$93=N$11)*('Total-T7.2019'!AP$10:AP$93&lt;0)/ROW('Total-T7.2019'!AQ$10:AQ$93),),ROW(A23))-9),"")</f>
        <v/>
      </c>
      <c r="E33" s="257" t="str">
        <f>IFERROR(INDEX('Total-T7.2019'!C$10:C$93,1/LARGE(INDEX(('Total-T7.2019'!AQ$10:AQ$93=N$11)*('Total-T7.2019'!AP$10:AP$93&lt;0)/ROW('Total-T7.2019'!AQ$10:AQ$93),),ROW(A23))-9),"")</f>
        <v/>
      </c>
      <c r="F33" s="235"/>
      <c r="G33" s="224" t="str">
        <f>IFERROR(INDEX('Total-T7.2019'!AP$10:AP$93,1/LARGE(INDEX(('Total-T7.2019'!AQ$10:AQ$93=N$11)*('Total-T7.2019'!AP$10:AP$93&lt;0)/ROW('Total-T7.2019'!AQ$10:AQ$93),),ROW(A23))-9),"")</f>
        <v/>
      </c>
      <c r="H33" s="225" t="str">
        <f>IFERROR(INDEX('Total-T7.2019'!AK$10:AK$93,1/LARGE(INDEX(('Total-T7.2019'!AQ$10:AQ$93=N$11)*('Total-T7.2019'!AP$10:AP$93&lt;0)/ROW('Total-T7.2019'!AQ$10:AQ$93),),ROW(A23))-9),"")</f>
        <v/>
      </c>
      <c r="I33" s="226"/>
      <c r="J33" s="227" t="str">
        <f t="shared" si="0"/>
        <v/>
      </c>
      <c r="K33" s="232"/>
      <c r="L33" s="233"/>
      <c r="S33" s="254"/>
    </row>
    <row r="34" spans="2:19" x14ac:dyDescent="0.4">
      <c r="B34" s="302" t="s">
        <v>627</v>
      </c>
      <c r="C34" s="303"/>
      <c r="D34" s="303"/>
      <c r="E34" s="303"/>
      <c r="F34" s="303"/>
      <c r="G34" s="304">
        <f>SUM(G11:G33)</f>
        <v>-25</v>
      </c>
      <c r="H34" s="304"/>
      <c r="I34" s="304"/>
      <c r="J34" s="305">
        <f>SUM(J11:J33)</f>
        <v>0</v>
      </c>
      <c r="K34" s="305"/>
      <c r="L34" s="236"/>
      <c r="S34" s="254"/>
    </row>
    <row r="35" spans="2:19" ht="18" thickBot="1" x14ac:dyDescent="0.45">
      <c r="B35" s="293" t="s">
        <v>628</v>
      </c>
      <c r="C35" s="294"/>
      <c r="D35" s="294"/>
      <c r="E35" s="294"/>
      <c r="F35" s="294"/>
      <c r="G35" s="294"/>
      <c r="H35" s="294"/>
      <c r="I35" s="294"/>
      <c r="J35" s="294"/>
      <c r="K35" s="294"/>
      <c r="L35" s="295"/>
      <c r="S35" s="254"/>
    </row>
    <row r="36" spans="2:19" x14ac:dyDescent="0.4">
      <c r="B36" s="198"/>
      <c r="C36" s="198"/>
      <c r="D36" s="199"/>
      <c r="E36" s="199"/>
      <c r="F36" s="198"/>
      <c r="G36" s="199"/>
      <c r="H36" s="237"/>
      <c r="I36" s="238"/>
      <c r="J36" s="239"/>
      <c r="K36" s="296" t="s">
        <v>629</v>
      </c>
      <c r="L36" s="296"/>
      <c r="S36" s="254"/>
    </row>
    <row r="37" spans="2:19" x14ac:dyDescent="0.4">
      <c r="B37" s="240" t="s">
        <v>630</v>
      </c>
      <c r="C37" s="240"/>
      <c r="D37" s="241"/>
      <c r="E37" s="241"/>
      <c r="F37" s="242"/>
      <c r="G37" s="243"/>
      <c r="H37" s="242"/>
      <c r="I37" s="242"/>
      <c r="J37" s="244"/>
      <c r="K37" s="244"/>
      <c r="L37" s="198"/>
      <c r="S37" s="254"/>
    </row>
    <row r="38" spans="2:19" x14ac:dyDescent="0.4">
      <c r="B38" s="240" t="s">
        <v>631</v>
      </c>
      <c r="C38" s="240"/>
      <c r="D38" s="242" t="s">
        <v>632</v>
      </c>
      <c r="E38" s="242"/>
      <c r="F38" s="242"/>
      <c r="G38" s="243"/>
      <c r="H38" s="242"/>
      <c r="I38" s="242"/>
      <c r="J38" s="244"/>
      <c r="K38" s="244"/>
      <c r="L38" s="242"/>
      <c r="S38" s="254"/>
    </row>
    <row r="39" spans="2:19" x14ac:dyDescent="0.4">
      <c r="B39" s="240" t="s">
        <v>633</v>
      </c>
      <c r="C39" s="240"/>
      <c r="D39" s="245" t="s">
        <v>634</v>
      </c>
      <c r="E39" s="245"/>
      <c r="F39" s="245"/>
      <c r="G39" s="242"/>
      <c r="H39" s="242"/>
      <c r="I39" s="242"/>
      <c r="J39" s="246"/>
      <c r="K39" s="240"/>
      <c r="L39" s="242"/>
      <c r="S39" s="254"/>
    </row>
    <row r="40" spans="2:19" ht="18" thickBot="1" x14ac:dyDescent="0.45">
      <c r="B40" s="240" t="s">
        <v>635</v>
      </c>
      <c r="C40" s="240"/>
      <c r="D40" s="242" t="s">
        <v>636</v>
      </c>
      <c r="E40" s="242"/>
      <c r="F40" s="242"/>
      <c r="G40" s="242"/>
      <c r="H40" s="242"/>
      <c r="I40" s="247" t="s">
        <v>637</v>
      </c>
      <c r="J40" s="248"/>
      <c r="K40" s="249"/>
      <c r="L40" s="249"/>
      <c r="S40" s="254"/>
    </row>
    <row r="41" spans="2:19" x14ac:dyDescent="0.4">
      <c r="S41" s="254"/>
    </row>
    <row r="42" spans="2:19" x14ac:dyDescent="0.4">
      <c r="S42" s="254"/>
    </row>
    <row r="43" spans="2:19" x14ac:dyDescent="0.4">
      <c r="S43" s="254"/>
    </row>
    <row r="44" spans="2:19" x14ac:dyDescent="0.4">
      <c r="S44" s="254"/>
    </row>
    <row r="45" spans="2:19" x14ac:dyDescent="0.4">
      <c r="S45" s="254"/>
    </row>
    <row r="46" spans="2:19" x14ac:dyDescent="0.4">
      <c r="S46" s="254"/>
    </row>
    <row r="47" spans="2:19" x14ac:dyDescent="0.4">
      <c r="S47" s="254"/>
    </row>
    <row r="48" spans="2:19" x14ac:dyDescent="0.4">
      <c r="S48" s="254"/>
    </row>
    <row r="49" spans="19:19" x14ac:dyDescent="0.4">
      <c r="S49" s="254"/>
    </row>
    <row r="50" spans="19:19" x14ac:dyDescent="0.4">
      <c r="S50" s="254"/>
    </row>
    <row r="51" spans="19:19" x14ac:dyDescent="0.4">
      <c r="S51" s="254"/>
    </row>
    <row r="52" spans="19:19" x14ac:dyDescent="0.4">
      <c r="S52" s="254"/>
    </row>
    <row r="53" spans="19:19" x14ac:dyDescent="0.4">
      <c r="S53" s="254"/>
    </row>
    <row r="54" spans="19:19" x14ac:dyDescent="0.4">
      <c r="S54" s="254"/>
    </row>
    <row r="55" spans="19:19" x14ac:dyDescent="0.4">
      <c r="S55" s="254"/>
    </row>
    <row r="56" spans="19:19" x14ac:dyDescent="0.4">
      <c r="S56" s="254"/>
    </row>
    <row r="57" spans="19:19" x14ac:dyDescent="0.4">
      <c r="S57" s="254"/>
    </row>
    <row r="58" spans="19:19" x14ac:dyDescent="0.4">
      <c r="S58" s="254"/>
    </row>
    <row r="59" spans="19:19" x14ac:dyDescent="0.4">
      <c r="S59" s="254"/>
    </row>
    <row r="60" spans="19:19" x14ac:dyDescent="0.4">
      <c r="S60" s="254"/>
    </row>
    <row r="61" spans="19:19" x14ac:dyDescent="0.4">
      <c r="S61" s="254"/>
    </row>
    <row r="62" spans="19:19" x14ac:dyDescent="0.4">
      <c r="S62" s="254"/>
    </row>
    <row r="63" spans="19:19" x14ac:dyDescent="0.4">
      <c r="S63" s="254"/>
    </row>
    <row r="64" spans="19:19" x14ac:dyDescent="0.4">
      <c r="S64" s="254"/>
    </row>
    <row r="65" spans="19:19" x14ac:dyDescent="0.4">
      <c r="S65" s="254"/>
    </row>
    <row r="66" spans="19:19" x14ac:dyDescent="0.4">
      <c r="S66" s="254"/>
    </row>
    <row r="67" spans="19:19" x14ac:dyDescent="0.4">
      <c r="S67" s="254"/>
    </row>
    <row r="68" spans="19:19" x14ac:dyDescent="0.4">
      <c r="S68" s="254"/>
    </row>
    <row r="69" spans="19:19" x14ac:dyDescent="0.4">
      <c r="S69" s="254"/>
    </row>
    <row r="70" spans="19:19" x14ac:dyDescent="0.4">
      <c r="S70" s="254"/>
    </row>
    <row r="71" spans="19:19" x14ac:dyDescent="0.4">
      <c r="S71" s="254"/>
    </row>
    <row r="72" spans="19:19" x14ac:dyDescent="0.4">
      <c r="S72" s="254"/>
    </row>
    <row r="73" spans="19:19" x14ac:dyDescent="0.4">
      <c r="S73" s="254"/>
    </row>
    <row r="74" spans="19:19" x14ac:dyDescent="0.4">
      <c r="S74" s="254"/>
    </row>
    <row r="75" spans="19:19" x14ac:dyDescent="0.4">
      <c r="S75" s="254"/>
    </row>
    <row r="76" spans="19:19" x14ac:dyDescent="0.4">
      <c r="S76" s="254"/>
    </row>
    <row r="77" spans="19:19" x14ac:dyDescent="0.4">
      <c r="S77" s="254"/>
    </row>
    <row r="78" spans="19:19" x14ac:dyDescent="0.4">
      <c r="S78" s="254"/>
    </row>
    <row r="79" spans="19:19" x14ac:dyDescent="0.4">
      <c r="S79" s="254"/>
    </row>
    <row r="80" spans="19:19" x14ac:dyDescent="0.4">
      <c r="S80" s="254"/>
    </row>
    <row r="81" spans="19:19" x14ac:dyDescent="0.4">
      <c r="S81" s="254"/>
    </row>
    <row r="82" spans="19:19" x14ac:dyDescent="0.4">
      <c r="S82" s="254"/>
    </row>
    <row r="83" spans="19:19" x14ac:dyDescent="0.4">
      <c r="S83" s="254"/>
    </row>
    <row r="84" spans="19:19" x14ac:dyDescent="0.4">
      <c r="S84" s="254"/>
    </row>
    <row r="85" spans="19:19" x14ac:dyDescent="0.4">
      <c r="S85" s="254"/>
    </row>
    <row r="86" spans="19:19" x14ac:dyDescent="0.4">
      <c r="S86" s="254"/>
    </row>
    <row r="87" spans="19:19" x14ac:dyDescent="0.4">
      <c r="S87" s="254"/>
    </row>
    <row r="88" spans="19:19" x14ac:dyDescent="0.4">
      <c r="S88" s="254"/>
    </row>
    <row r="89" spans="19:19" x14ac:dyDescent="0.4">
      <c r="S89" s="254"/>
    </row>
    <row r="90" spans="19:19" x14ac:dyDescent="0.4">
      <c r="S90" s="254"/>
    </row>
    <row r="91" spans="19:19" x14ac:dyDescent="0.4">
      <c r="S91" s="254"/>
    </row>
    <row r="92" spans="19:19" x14ac:dyDescent="0.4">
      <c r="S92" s="254"/>
    </row>
    <row r="93" spans="19:19" x14ac:dyDescent="0.4">
      <c r="S93" s="254"/>
    </row>
    <row r="94" spans="19:19" x14ac:dyDescent="0.4">
      <c r="S94" s="254"/>
    </row>
  </sheetData>
  <mergeCells count="15">
    <mergeCell ref="B35:L35"/>
    <mergeCell ref="K36:L36"/>
    <mergeCell ref="C9:D9"/>
    <mergeCell ref="F9:G9"/>
    <mergeCell ref="H9:I9"/>
    <mergeCell ref="J9:L9"/>
    <mergeCell ref="B34:F34"/>
    <mergeCell ref="G34:I34"/>
    <mergeCell ref="J34:K34"/>
    <mergeCell ref="J6:L6"/>
    <mergeCell ref="B7:B8"/>
    <mergeCell ref="C7:G8"/>
    <mergeCell ref="H7:I7"/>
    <mergeCell ref="H8:I8"/>
    <mergeCell ref="J8:L8"/>
  </mergeCells>
  <phoneticPr fontId="21" type="noConversion"/>
  <dataValidations count="1">
    <dataValidation type="list" allowBlank="1" showInputMessage="1" showErrorMessage="1" sqref="N11" xr:uid="{08A28AFF-A40B-4F1E-81F1-69CA5DEF6A4B}">
      <formula1>$S$11:$S$21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69E35-76EB-49A2-A2B7-1463AB5E0FA9}">
  <sheetPr codeName="Sheet3"/>
  <dimension ref="B2:Q188"/>
  <sheetViews>
    <sheetView topLeftCell="A10" workbookViewId="0">
      <selection activeCell="A32" sqref="A32:XFD34"/>
    </sheetView>
  </sheetViews>
  <sheetFormatPr defaultRowHeight="17.399999999999999" x14ac:dyDescent="0.4"/>
  <cols>
    <col min="3" max="3" width="20" customWidth="1"/>
    <col min="4" max="4" width="33.19921875" customWidth="1"/>
    <col min="5" max="5" width="12.59765625" customWidth="1"/>
    <col min="6" max="6" width="21.59765625" customWidth="1"/>
    <col min="9" max="9" width="11.09765625" customWidth="1"/>
    <col min="11" max="11" width="14.3984375" customWidth="1"/>
    <col min="12" max="12" width="11.09765625" customWidth="1"/>
    <col min="17" max="17" width="15.69921875" customWidth="1"/>
  </cols>
  <sheetData>
    <row r="2" spans="2:17" x14ac:dyDescent="0.4">
      <c r="B2" s="198"/>
      <c r="C2" s="198"/>
      <c r="D2" s="199"/>
      <c r="E2" s="199"/>
      <c r="F2" s="198"/>
      <c r="G2" s="200" t="s">
        <v>599</v>
      </c>
      <c r="H2" s="200"/>
      <c r="I2" s="200"/>
      <c r="J2" s="200"/>
      <c r="K2" s="200"/>
      <c r="L2" s="200"/>
    </row>
    <row r="3" spans="2:17" x14ac:dyDescent="0.4">
      <c r="B3" s="198"/>
      <c r="C3" s="198"/>
      <c r="D3" s="199"/>
      <c r="E3" s="199"/>
      <c r="F3" s="198"/>
      <c r="G3" s="200" t="s">
        <v>600</v>
      </c>
      <c r="H3" s="200"/>
      <c r="I3" s="200"/>
      <c r="J3" s="200"/>
      <c r="K3" s="200"/>
      <c r="L3" s="200"/>
    </row>
    <row r="4" spans="2:17" x14ac:dyDescent="0.4">
      <c r="B4" s="198"/>
      <c r="C4" s="198"/>
      <c r="D4" s="199"/>
      <c r="E4" s="199"/>
      <c r="F4" s="198"/>
      <c r="G4" s="200" t="s">
        <v>601</v>
      </c>
      <c r="H4" s="200"/>
      <c r="I4" s="200"/>
      <c r="J4" s="200"/>
      <c r="K4" s="200"/>
      <c r="L4" s="200"/>
    </row>
    <row r="5" spans="2:17" x14ac:dyDescent="0.4">
      <c r="B5" s="198"/>
      <c r="C5" s="198"/>
      <c r="D5" s="199"/>
      <c r="E5" s="199"/>
      <c r="F5" s="198"/>
      <c r="G5" s="201" t="s">
        <v>602</v>
      </c>
      <c r="H5" s="201"/>
      <c r="I5" s="201"/>
      <c r="J5" s="201"/>
      <c r="K5" s="201"/>
      <c r="L5" s="201"/>
    </row>
    <row r="6" spans="2:17" ht="18" thickBot="1" x14ac:dyDescent="0.45">
      <c r="B6" s="202" t="s">
        <v>603</v>
      </c>
      <c r="C6" s="203" t="s">
        <v>604</v>
      </c>
      <c r="D6" s="204"/>
      <c r="E6" s="204"/>
      <c r="F6" s="198"/>
      <c r="G6" s="205" t="s">
        <v>605</v>
      </c>
      <c r="H6" s="206" t="s">
        <v>605</v>
      </c>
      <c r="I6" s="207"/>
      <c r="J6" s="280" t="s">
        <v>606</v>
      </c>
      <c r="K6" s="281"/>
      <c r="L6" s="281"/>
    </row>
    <row r="7" spans="2:17" x14ac:dyDescent="0.4">
      <c r="B7" s="282" t="s">
        <v>607</v>
      </c>
      <c r="C7" s="284" t="s">
        <v>608</v>
      </c>
      <c r="D7" s="284"/>
      <c r="E7" s="284"/>
      <c r="F7" s="284"/>
      <c r="G7" s="284"/>
      <c r="H7" s="286" t="s">
        <v>609</v>
      </c>
      <c r="I7" s="287"/>
      <c r="J7" s="209">
        <f ca="1">TODAY()</f>
        <v>43691</v>
      </c>
      <c r="K7" s="210"/>
      <c r="L7" s="211"/>
    </row>
    <row r="8" spans="2:17" x14ac:dyDescent="0.4">
      <c r="B8" s="283"/>
      <c r="C8" s="285"/>
      <c r="D8" s="285"/>
      <c r="E8" s="285"/>
      <c r="F8" s="285"/>
      <c r="G8" s="285"/>
      <c r="H8" s="288" t="s">
        <v>610</v>
      </c>
      <c r="I8" s="289"/>
      <c r="J8" s="290" t="s">
        <v>611</v>
      </c>
      <c r="K8" s="291"/>
      <c r="L8" s="292"/>
      <c r="Q8" t="s">
        <v>640</v>
      </c>
    </row>
    <row r="9" spans="2:17" ht="18" thickBot="1" x14ac:dyDescent="0.45">
      <c r="B9" s="212" t="s">
        <v>612</v>
      </c>
      <c r="C9" s="297"/>
      <c r="D9" s="297"/>
      <c r="E9" s="213" t="s">
        <v>613</v>
      </c>
      <c r="F9" s="297"/>
      <c r="G9" s="297"/>
      <c r="H9" s="298" t="s">
        <v>614</v>
      </c>
      <c r="I9" s="299"/>
      <c r="J9" s="300" t="s">
        <v>615</v>
      </c>
      <c r="K9" s="300"/>
      <c r="L9" s="301"/>
      <c r="Q9" s="140" t="s">
        <v>552</v>
      </c>
    </row>
    <row r="10" spans="2:17" x14ac:dyDescent="0.4">
      <c r="B10" s="214" t="s">
        <v>616</v>
      </c>
      <c r="C10" s="215" t="s">
        <v>3</v>
      </c>
      <c r="D10" s="215" t="s">
        <v>617</v>
      </c>
      <c r="E10" s="215" t="s">
        <v>618</v>
      </c>
      <c r="F10" s="215" t="s">
        <v>619</v>
      </c>
      <c r="G10" s="216" t="s">
        <v>620</v>
      </c>
      <c r="H10" s="217" t="s">
        <v>621</v>
      </c>
      <c r="I10" s="218" t="s">
        <v>622</v>
      </c>
      <c r="J10" s="218" t="s">
        <v>623</v>
      </c>
      <c r="K10" s="219" t="s">
        <v>624</v>
      </c>
      <c r="L10" s="220" t="s">
        <v>625</v>
      </c>
      <c r="Q10" s="140" t="s">
        <v>561</v>
      </c>
    </row>
    <row r="11" spans="2:17" x14ac:dyDescent="0.4">
      <c r="B11" s="221"/>
      <c r="C11" s="255" t="str">
        <f>IFERROR(INDEX('Total-T7.2019'!B$95:B$274,1/LARGE(INDEX(('Total-T7.2019'!AQ$95:AQ$274=N$11)*('Total-T7.2019'!AP$95:AP$274&lt;0)/ROW('Total-T7.2019'!AQ$95:AQ$274),),ROW(A1))-94),"")</f>
        <v>SÁCH HDSD, BẢO HÀNH E9</v>
      </c>
      <c r="D11" s="222" t="str">
        <f>IFERROR(INDEX('Total-T7.2019'!D$95:D$274,1/LARGE(INDEX(('Total-T7.2019'!AQ$95:AQ$274=N$11)*('Total-T7.2019'!AP$95:AP$274&lt;0)/ROW('Total-T7.2019'!AQ$95:AQ$274),),ROW(A1))-94),"")</f>
        <v>MANUAL, INTRUCTION / E</v>
      </c>
      <c r="E11" s="223" t="str">
        <f>IFERROR(INDEX('Total-T7.2019'!C$95:C$274,1/LARGE(INDEX(('Total-T7.2019'!AQ$95:AQ$274=N$11)*('Total-T7.2019'!AP$95:AP$274&lt;0)/ROW('Total-T7.2019'!AQ$95:AQ$274),),ROW(A1))-94),"")</f>
        <v>4-264-526-23(1)</v>
      </c>
      <c r="F11" s="222"/>
      <c r="G11" s="224">
        <f>IFERROR(INDEX('Total-T7.2019'!AP$95:AP$274,1/LARGE(INDEX(('Total-T7.2019'!AQ$95:AQ$274=N$11)*('Total-T7.2019'!AP$95:AP$274&lt;0)/ROW('Total-T7.2019'!AQ$95:AQ$274),),ROW(A1))-94),"")</f>
        <v>-5</v>
      </c>
      <c r="H11" s="225" t="str">
        <f>IFERROR(INDEX('Total-T7.2019'!AK$95:AK$274,1/LARGE(INDEX(('Total-T7.2019'!AQ$95:AQ$274=N$11)*('Total-T7.2019'!AP$95:AP$274&lt;0)/ROW('Total-T7.2019'!AQ$95:AQ$274),),ROW(A1))-94),"")</f>
        <v>PCS</v>
      </c>
      <c r="I11" s="226"/>
      <c r="J11" s="227">
        <f>IFERROR(G11*I11,"")</f>
        <v>0</v>
      </c>
      <c r="K11" s="228"/>
      <c r="L11" s="229"/>
      <c r="N11" t="s">
        <v>563</v>
      </c>
      <c r="Q11" s="140" t="s">
        <v>563</v>
      </c>
    </row>
    <row r="12" spans="2:17" x14ac:dyDescent="0.4">
      <c r="B12" s="221"/>
      <c r="C12" s="255" t="str">
        <f>IFERROR(INDEX('Total-T7.2019'!B$95:B$274,1/LARGE(INDEX(('Total-T7.2019'!AQ$95:AQ$274=N$11)*('Total-T7.2019'!AP$95:AP$274&lt;0)/ROW('Total-T7.2019'!AQ$95:AQ$274),),ROW(A2))-94),"")</f>
        <v>SÁCH HDSD, BẢO HÀNH E9</v>
      </c>
      <c r="D12" s="222" t="str">
        <f>IFERROR(INDEX('Total-T7.2019'!D$95:D$274,1/LARGE(INDEX(('Total-T7.2019'!AQ$95:AQ$274=N$11)*('Total-T7.2019'!AP$95:AP$274&lt;0)/ROW('Total-T7.2019'!AQ$95:AQ$274),),ROW(A2))-94),"")</f>
        <v>MANUAL, INTRUCTION / U</v>
      </c>
      <c r="E12" s="223" t="str">
        <f>IFERROR(INDEX('Total-T7.2019'!C$95:C$274,1/LARGE(INDEX(('Total-T7.2019'!AQ$95:AQ$274=N$11)*('Total-T7.2019'!AP$95:AP$274&lt;0)/ROW('Total-T7.2019'!AQ$95:AQ$274),),ROW(A2))-94),"")</f>
        <v>4-264-526-12(1)</v>
      </c>
      <c r="F12" s="222"/>
      <c r="G12" s="224">
        <f>IFERROR(INDEX('Total-T7.2019'!AP$95:AP$274,1/LARGE(INDEX(('Total-T7.2019'!AQ$95:AQ$274=N$11)*('Total-T7.2019'!AP$95:AP$274&lt;0)/ROW('Total-T7.2019'!AQ$95:AQ$274),),ROW(A2))-94),"")</f>
        <v>-5</v>
      </c>
      <c r="H12" s="225" t="str">
        <f>IFERROR(INDEX('Total-T7.2019'!AK$95:AK$274,1/LARGE(INDEX(('Total-T7.2019'!AQ$95:AQ$274=N$11)*('Total-T7.2019'!AP$95:AP$274&lt;0)/ROW('Total-T7.2019'!AQ$95:AQ$274),),ROW(A2))-94),"")</f>
        <v>PCS</v>
      </c>
      <c r="I12" s="226"/>
      <c r="J12" s="227">
        <f t="shared" ref="J12:J33" si="0">IFERROR(G12*I12,"")</f>
        <v>0</v>
      </c>
      <c r="K12" s="228"/>
      <c r="L12" s="229"/>
      <c r="Q12" s="140" t="s">
        <v>570</v>
      </c>
    </row>
    <row r="13" spans="2:17" x14ac:dyDescent="0.4">
      <c r="B13" s="221"/>
      <c r="C13" s="255" t="str">
        <f>IFERROR(INDEX('Total-T7.2019'!B$95:B$274,1/LARGE(INDEX(('Total-T7.2019'!AQ$95:AQ$274=N$11)*('Total-T7.2019'!AP$95:AP$274&lt;0)/ROW('Total-T7.2019'!AQ$95:AQ$274),),ROW(A3))-94),"")</f>
        <v>SÁCH HDSD, BẢO HÀNH E9</v>
      </c>
      <c r="D13" s="222" t="str">
        <f>IFERROR(INDEX('Total-T7.2019'!D$95:D$274,1/LARGE(INDEX(('Total-T7.2019'!AQ$95:AQ$274=N$11)*('Total-T7.2019'!AP$95:AP$274&lt;0)/ROW('Total-T7.2019'!AQ$95:AQ$274),),ROW(A3))-94),"")</f>
        <v>CARD, WARRANTY - PA (LIMITED WARRANTY) / U</v>
      </c>
      <c r="E13" s="223" t="str">
        <f>IFERROR(INDEX('Total-T7.2019'!C$95:C$274,1/LARGE(INDEX(('Total-T7.2019'!AQ$95:AQ$274=N$11)*('Total-T7.2019'!AP$95:AP$274&lt;0)/ROW('Total-T7.2019'!AQ$95:AQ$274),),ROW(A3))-94),"")</f>
        <v>4-557-148-36</v>
      </c>
      <c r="F13" s="222"/>
      <c r="G13" s="224">
        <f>IFERROR(INDEX('Total-T7.2019'!AP$95:AP$274,1/LARGE(INDEX(('Total-T7.2019'!AQ$95:AQ$274=N$11)*('Total-T7.2019'!AP$95:AP$274&lt;0)/ROW('Total-T7.2019'!AQ$95:AQ$274),),ROW(A3))-94),"")</f>
        <v>-5</v>
      </c>
      <c r="H13" s="225" t="str">
        <f>IFERROR(INDEX('Total-T7.2019'!AK$95:AK$274,1/LARGE(INDEX(('Total-T7.2019'!AQ$95:AQ$274=N$11)*('Total-T7.2019'!AP$95:AP$274&lt;0)/ROW('Total-T7.2019'!AQ$95:AQ$274),),ROW(A3))-94),"")</f>
        <v>PCS</v>
      </c>
      <c r="I13" s="226"/>
      <c r="J13" s="227">
        <f t="shared" si="0"/>
        <v>0</v>
      </c>
      <c r="K13" s="228"/>
      <c r="L13" s="229"/>
      <c r="Q13" s="140" t="s">
        <v>571</v>
      </c>
    </row>
    <row r="14" spans="2:17" x14ac:dyDescent="0.4">
      <c r="B14" s="221"/>
      <c r="C14" s="255" t="str">
        <f>IFERROR(INDEX('Total-T7.2019'!B$95:B$274,1/LARGE(INDEX(('Total-T7.2019'!AQ$95:AQ$274=N$11)*('Total-T7.2019'!AP$95:AP$274&lt;0)/ROW('Total-T7.2019'!AQ$95:AQ$274),),ROW(A4))-94),"")</f>
        <v>SÁCH HDSD, BẢO HÀNH E9</v>
      </c>
      <c r="D14" s="222" t="str">
        <f>IFERROR(INDEX('Total-T7.2019'!D$95:D$274,1/LARGE(INDEX(('Total-T7.2019'!AQ$95:AQ$274=N$11)*('Total-T7.2019'!AP$95:AP$274&lt;0)/ROW('Total-T7.2019'!AQ$95:AQ$274),),ROW(A4))-94),"")</f>
        <v>MANUAL, INTRUCTION / AE</v>
      </c>
      <c r="E14" s="223" t="str">
        <f>IFERROR(INDEX('Total-T7.2019'!C$95:C$274,1/LARGE(INDEX(('Total-T7.2019'!AQ$95:AQ$274=N$11)*('Total-T7.2019'!AP$95:AP$274&lt;0)/ROW('Total-T7.2019'!AQ$95:AQ$274),),ROW(A4))-94),"")</f>
        <v>4-448-414-15</v>
      </c>
      <c r="F14" s="222"/>
      <c r="G14" s="224">
        <f>IFERROR(INDEX('Total-T7.2019'!AP$95:AP$274,1/LARGE(INDEX(('Total-T7.2019'!AQ$95:AQ$274=N$11)*('Total-T7.2019'!AP$95:AP$274&lt;0)/ROW('Total-T7.2019'!AQ$95:AQ$274),),ROW(A4))-94),"")</f>
        <v>-4</v>
      </c>
      <c r="H14" s="225" t="str">
        <f>IFERROR(INDEX('Total-T7.2019'!AK$95:AK$274,1/LARGE(INDEX(('Total-T7.2019'!AQ$95:AQ$274=N$11)*('Total-T7.2019'!AP$95:AP$274&lt;0)/ROW('Total-T7.2019'!AQ$95:AQ$274),),ROW(A4))-94),"")</f>
        <v>PCS</v>
      </c>
      <c r="I14" s="226"/>
      <c r="J14" s="227">
        <f t="shared" si="0"/>
        <v>0</v>
      </c>
      <c r="K14" s="228"/>
      <c r="L14" s="229"/>
      <c r="Q14" s="140" t="s">
        <v>572</v>
      </c>
    </row>
    <row r="15" spans="2:17" ht="27.6" x14ac:dyDescent="0.4">
      <c r="B15" s="221"/>
      <c r="C15" s="255" t="str">
        <f>IFERROR(INDEX('Total-T7.2019'!B$95:B$274,1/LARGE(INDEX(('Total-T7.2019'!AQ$95:AQ$274=N$11)*('Total-T7.2019'!AP$95:AP$274&lt;0)/ROW('Total-T7.2019'!AQ$95:AQ$274),),ROW(A5))-94),"")</f>
        <v>SÁCH HDSD, BẢO HÀNH E9</v>
      </c>
      <c r="D15" s="222" t="str">
        <f>IFERROR(INDEX('Total-T7.2019'!D$95:D$274,1/LARGE(INDEX(('Total-T7.2019'!AQ$95:AQ$274=N$11)*('Total-T7.2019'!AP$95:AP$274&lt;0)/ROW('Total-T7.2019'!AQ$95:AQ$274),),ROW(A5))-94),"")</f>
        <v>CORD WARRANTY / AE</v>
      </c>
      <c r="E15" s="223" t="str">
        <f>IFERROR(INDEX('Total-T7.2019'!C$95:C$274,1/LARGE(INDEX(('Total-T7.2019'!AQ$95:AQ$274=N$11)*('Total-T7.2019'!AP$95:AP$274&lt;0)/ROW('Total-T7.2019'!AQ$95:AQ$274),),ROW(A5))-94),"")</f>
        <v>4-154-131-02</v>
      </c>
      <c r="F15" s="222"/>
      <c r="G15" s="224">
        <f>IFERROR(INDEX('Total-T7.2019'!AP$95:AP$274,1/LARGE(INDEX(('Total-T7.2019'!AQ$95:AQ$274=N$11)*('Total-T7.2019'!AP$95:AP$274&lt;0)/ROW('Total-T7.2019'!AQ$95:AQ$274),),ROW(A5))-94),"")</f>
        <v>-4</v>
      </c>
      <c r="H15" s="225" t="str">
        <f>IFERROR(INDEX('Total-T7.2019'!AK$95:AK$274,1/LARGE(INDEX(('Total-T7.2019'!AQ$95:AQ$274=N$11)*('Total-T7.2019'!AP$95:AP$274&lt;0)/ROW('Total-T7.2019'!AQ$95:AQ$274),),ROW(A5))-94),"")</f>
        <v>PCS</v>
      </c>
      <c r="I15" s="226"/>
      <c r="J15" s="227">
        <f t="shared" si="0"/>
        <v>0</v>
      </c>
      <c r="K15" s="228"/>
      <c r="L15" s="229"/>
      <c r="Q15" s="258" t="s">
        <v>562</v>
      </c>
    </row>
    <row r="16" spans="2:17" x14ac:dyDescent="0.4">
      <c r="B16" s="221"/>
      <c r="C16" s="255" t="str">
        <f>IFERROR(INDEX('Total-T7.2019'!B$95:B$274,1/LARGE(INDEX(('Total-T7.2019'!AQ$95:AQ$274=N$11)*('Total-T7.2019'!AP$95:AP$274&lt;0)/ROW('Total-T7.2019'!AQ$95:AQ$274),),ROW(A6))-94),"")</f>
        <v>SÁCH HDSD, BẢO HÀNH E9</v>
      </c>
      <c r="D16" s="222" t="str">
        <f>IFERROR(INDEX('Total-T7.2019'!D$95:D$274,1/LARGE(INDEX(('Total-T7.2019'!AQ$95:AQ$274=N$11)*('Total-T7.2019'!AP$95:AP$274&lt;0)/ROW('Total-T7.2019'!AQ$95:AQ$274),),ROW(A6))-94),"")</f>
        <v>MANUAL, INTRUCTION / CA</v>
      </c>
      <c r="E16" s="223" t="str">
        <f>IFERROR(INDEX('Total-T7.2019'!C$95:C$274,1/LARGE(INDEX(('Total-T7.2019'!AQ$95:AQ$274=N$11)*('Total-T7.2019'!AP$95:AP$274&lt;0)/ROW('Total-T7.2019'!AQ$95:AQ$274),),ROW(A6))-94),"")</f>
        <v>4-264-526-34(1)</v>
      </c>
      <c r="F16" s="222"/>
      <c r="G16" s="224">
        <f>IFERROR(INDEX('Total-T7.2019'!AP$95:AP$274,1/LARGE(INDEX(('Total-T7.2019'!AQ$95:AQ$274=N$11)*('Total-T7.2019'!AP$95:AP$274&lt;0)/ROW('Total-T7.2019'!AQ$95:AQ$274),),ROW(A6))-94),"")</f>
        <v>-4</v>
      </c>
      <c r="H16" s="225" t="str">
        <f>IFERROR(INDEX('Total-T7.2019'!AK$95:AK$274,1/LARGE(INDEX(('Total-T7.2019'!AQ$95:AQ$274=N$11)*('Total-T7.2019'!AP$95:AP$274&lt;0)/ROW('Total-T7.2019'!AQ$95:AQ$274),),ROW(A6))-94),"")</f>
        <v>PCS</v>
      </c>
      <c r="I16" s="226"/>
      <c r="J16" s="227">
        <f t="shared" si="0"/>
        <v>0</v>
      </c>
      <c r="K16" s="228"/>
      <c r="L16" s="229"/>
      <c r="Q16" s="140" t="s">
        <v>564</v>
      </c>
    </row>
    <row r="17" spans="2:17" x14ac:dyDescent="0.4">
      <c r="B17" s="221"/>
      <c r="C17" s="255" t="str">
        <f>IFERROR(INDEX('Total-T7.2019'!B$95:B$274,1/LARGE(INDEX(('Total-T7.2019'!AQ$95:AQ$274=N$11)*('Total-T7.2019'!AP$95:AP$274&lt;0)/ROW('Total-T7.2019'!AQ$95:AQ$274),),ROW(A7))-94),"")</f>
        <v>TEM E9 - AE</v>
      </c>
      <c r="D17" s="222" t="str">
        <f>IFERROR(INDEX('Total-T7.2019'!D$95:D$274,1/LARGE(INDEX(('Total-T7.2019'!AQ$95:AQ$274=N$11)*('Total-T7.2019'!AP$95:AP$274&lt;0)/ROW('Total-T7.2019'!AQ$95:AQ$274),),ROW(A7))-94),"")</f>
        <v>LABEL, UKRAINE PRODUCTION (TEM MÀU TRẮNG P/D)</v>
      </c>
      <c r="E17" s="223" t="str">
        <f>IFERROR(INDEX('Total-T7.2019'!C$95:C$274,1/LARGE(INDEX(('Total-T7.2019'!AQ$95:AQ$274=N$11)*('Total-T7.2019'!AP$95:AP$274&lt;0)/ROW('Total-T7.2019'!AQ$95:AQ$274),),ROW(A7))-94),"")</f>
        <v>4-178-724-03</v>
      </c>
      <c r="F17" s="222"/>
      <c r="G17" s="224">
        <f>IFERROR(INDEX('Total-T7.2019'!AP$95:AP$274,1/LARGE(INDEX(('Total-T7.2019'!AQ$95:AQ$274=N$11)*('Total-T7.2019'!AP$95:AP$274&lt;0)/ROW('Total-T7.2019'!AQ$95:AQ$274),),ROW(A7))-94),"")</f>
        <v>-4</v>
      </c>
      <c r="H17" s="225" t="str">
        <f>IFERROR(INDEX('Total-T7.2019'!AK$95:AK$274,1/LARGE(INDEX(('Total-T7.2019'!AQ$95:AQ$274=N$11)*('Total-T7.2019'!AP$95:AP$274&lt;0)/ROW('Total-T7.2019'!AQ$95:AQ$274),),ROW(A7))-94),"")</f>
        <v>PCS</v>
      </c>
      <c r="I17" s="226"/>
      <c r="J17" s="227">
        <f t="shared" si="0"/>
        <v>0</v>
      </c>
      <c r="K17" s="228"/>
      <c r="L17" s="229"/>
      <c r="Q17" s="140" t="s">
        <v>556</v>
      </c>
    </row>
    <row r="18" spans="2:17" x14ac:dyDescent="0.4">
      <c r="B18" s="221"/>
      <c r="C18" s="255" t="str">
        <f>IFERROR(INDEX('Total-T7.2019'!B$95:B$274,1/LARGE(INDEX(('Total-T7.2019'!AQ$95:AQ$274=N$11)*('Total-T7.2019'!AP$95:AP$274&lt;0)/ROW('Total-T7.2019'!AQ$95:AQ$274),),ROW(A8))-94),"")</f>
        <v>CARD BOARD EX14AP</v>
      </c>
      <c r="D18" s="222" t="str">
        <f>IFERROR(INDEX('Total-T7.2019'!D$95:D$274,1/LARGE(INDEX(('Total-T7.2019'!AQ$95:AQ$274=N$11)*('Total-T7.2019'!AP$95:AP$274&lt;0)/ROW('Total-T7.2019'!AQ$95:AQ$274),),ROW(A8))-94),"")</f>
        <v>CARDBOARD (BZ/EE)</v>
      </c>
      <c r="E18" s="223" t="str">
        <f>IFERROR(INDEX('Total-T7.2019'!C$95:C$274,1/LARGE(INDEX(('Total-T7.2019'!AQ$95:AQ$274=N$11)*('Total-T7.2019'!AP$95:AP$274&lt;0)/ROW('Total-T7.2019'!AQ$95:AQ$274),),ROW(A8))-94),"")</f>
        <v>5-005-468-01</v>
      </c>
      <c r="F18" s="222"/>
      <c r="G18" s="224">
        <f>IFERROR(INDEX('Total-T7.2019'!AP$95:AP$274,1/LARGE(INDEX(('Total-T7.2019'!AQ$95:AQ$274=N$11)*('Total-T7.2019'!AP$95:AP$274&lt;0)/ROW('Total-T7.2019'!AQ$95:AQ$274),),ROW(A8))-94),"")</f>
        <v>-1</v>
      </c>
      <c r="H18" s="225" t="str">
        <f>IFERROR(INDEX('Total-T7.2019'!AK$95:AK$274,1/LARGE(INDEX(('Total-T7.2019'!AQ$95:AQ$274=N$11)*('Total-T7.2019'!AP$95:AP$274&lt;0)/ROW('Total-T7.2019'!AQ$95:AQ$274),),ROW(A8))-94),"")</f>
        <v>PCS</v>
      </c>
      <c r="I18" s="226"/>
      <c r="J18" s="227">
        <f t="shared" si="0"/>
        <v>0</v>
      </c>
      <c r="K18" s="228"/>
      <c r="L18" s="229"/>
      <c r="Q18" s="140" t="s">
        <v>565</v>
      </c>
    </row>
    <row r="19" spans="2:17" x14ac:dyDescent="0.4">
      <c r="B19" s="221"/>
      <c r="C19" s="255" t="str">
        <f>IFERROR(INDEX('Total-T7.2019'!B$95:B$274,1/LARGE(INDEX(('Total-T7.2019'!AQ$95:AQ$274=N$11)*('Total-T7.2019'!AP$95:AP$274&lt;0)/ROW('Total-T7.2019'!AQ$95:AQ$274),),ROW(A9))-94),"")</f>
        <v>CARD BOARD EX15LP</v>
      </c>
      <c r="D19" s="222" t="str">
        <f>IFERROR(INDEX('Total-T7.2019'!D$95:D$274,1/LARGE(INDEX(('Total-T7.2019'!AQ$95:AQ$274=N$11)*('Total-T7.2019'!AP$95:AP$274&lt;0)/ROW('Total-T7.2019'!AQ$95:AQ$274),),ROW(A9))-94),"")</f>
        <v>CARDBOARD (VZ1/AE)</v>
      </c>
      <c r="E19" s="223" t="str">
        <f>IFERROR(INDEX('Total-T7.2019'!C$95:C$274,1/LARGE(INDEX(('Total-T7.2019'!AQ$95:AQ$274=N$11)*('Total-T7.2019'!AP$95:AP$274&lt;0)/ROW('Total-T7.2019'!AQ$95:AQ$274),),ROW(A9))-94),"")</f>
        <v>5-006-113-41</v>
      </c>
      <c r="F19" s="222"/>
      <c r="G19" s="224">
        <f>IFERROR(INDEX('Total-T7.2019'!AP$95:AP$274,1/LARGE(INDEX(('Total-T7.2019'!AQ$95:AQ$274=N$11)*('Total-T7.2019'!AP$95:AP$274&lt;0)/ROW('Total-T7.2019'!AQ$95:AQ$274),),ROW(A9))-94),"")</f>
        <v>-1</v>
      </c>
      <c r="H19" s="225" t="str">
        <f>IFERROR(INDEX('Total-T7.2019'!AK$95:AK$274,1/LARGE(INDEX(('Total-T7.2019'!AQ$95:AQ$274=N$11)*('Total-T7.2019'!AP$95:AP$274&lt;0)/ROW('Total-T7.2019'!AQ$95:AQ$274),),ROW(A9))-94),"")</f>
        <v>PCS</v>
      </c>
      <c r="I19" s="226"/>
      <c r="J19" s="227">
        <f t="shared" si="0"/>
        <v>0</v>
      </c>
      <c r="K19" s="228"/>
      <c r="L19" s="229"/>
      <c r="Q19" s="140" t="s">
        <v>566</v>
      </c>
    </row>
    <row r="20" spans="2:17" x14ac:dyDescent="0.4">
      <c r="B20" s="221"/>
      <c r="C20" s="255" t="str">
        <f>IFERROR(INDEX('Total-T7.2019'!B$95:B$274,1/LARGE(INDEX(('Total-T7.2019'!AQ$95:AQ$274=N$11)*('Total-T7.2019'!AP$95:AP$274&lt;0)/ROW('Total-T7.2019'!AQ$95:AQ$274),),ROW(A10))-94),"")</f>
        <v>CARD BOARD E9LP</v>
      </c>
      <c r="D20" s="222" t="str">
        <f>IFERROR(INDEX('Total-T7.2019'!D$95:D$274,1/LARGE(INDEX(('Total-T7.2019'!AQ$95:AQ$274=N$11)*('Total-T7.2019'!AP$95:AP$274&lt;0)/ROW('Total-T7.2019'!AQ$95:AQ$274),),ROW(A10))-94),"")</f>
        <v>CARDBOARD (BZ1/E)</v>
      </c>
      <c r="E20" s="223" t="str">
        <f>IFERROR(INDEX('Total-T7.2019'!C$95:C$274,1/LARGE(INDEX(('Total-T7.2019'!AQ$95:AQ$274=N$11)*('Total-T7.2019'!AP$95:AP$274&lt;0)/ROW('Total-T7.2019'!AQ$95:AQ$274),),ROW(A10))-94),"")</f>
        <v>5-006-119-01</v>
      </c>
      <c r="F20" s="222"/>
      <c r="G20" s="224">
        <f>IFERROR(INDEX('Total-T7.2019'!AP$95:AP$274,1/LARGE(INDEX(('Total-T7.2019'!AQ$95:AQ$274=N$11)*('Total-T7.2019'!AP$95:AP$274&lt;0)/ROW('Total-T7.2019'!AQ$95:AQ$274),),ROW(A10))-94),"")</f>
        <v>-1</v>
      </c>
      <c r="H20" s="225" t="str">
        <f>IFERROR(INDEX('Total-T7.2019'!AK$95:AK$274,1/LARGE(INDEX(('Total-T7.2019'!AQ$95:AQ$274=N$11)*('Total-T7.2019'!AP$95:AP$274&lt;0)/ROW('Total-T7.2019'!AQ$95:AQ$274),),ROW(A10))-94),"")</f>
        <v>PCS</v>
      </c>
      <c r="I20" s="226"/>
      <c r="J20" s="227">
        <f t="shared" si="0"/>
        <v>0</v>
      </c>
      <c r="K20" s="228"/>
      <c r="L20" s="229"/>
      <c r="Q20" s="140" t="s">
        <v>567</v>
      </c>
    </row>
    <row r="21" spans="2:17" x14ac:dyDescent="0.4">
      <c r="B21" s="221"/>
      <c r="C21" s="255" t="str">
        <f>IFERROR(INDEX('Total-T7.2019'!B$95:B$274,1/LARGE(INDEX(('Total-T7.2019'!AQ$95:AQ$274=N$11)*('Total-T7.2019'!AP$95:AP$274&lt;0)/ROW('Total-T7.2019'!AQ$95:AQ$274),),ROW(A11))-94),"")</f>
        <v>CARD BOARD E9LP</v>
      </c>
      <c r="D21" s="222" t="str">
        <f>IFERROR(INDEX('Total-T7.2019'!D$95:D$274,1/LARGE(INDEX(('Total-T7.2019'!AQ$95:AQ$274=N$11)*('Total-T7.2019'!AP$95:AP$274&lt;0)/ROW('Total-T7.2019'!AQ$95:AQ$274),),ROW(A11))-94),"")</f>
        <v>CARDBOARD (WIZ1/E)</v>
      </c>
      <c r="E21" s="223" t="str">
        <f>IFERROR(INDEX('Total-T7.2019'!C$95:C$274,1/LARGE(INDEX(('Total-T7.2019'!AQ$95:AQ$274=N$11)*('Total-T7.2019'!AP$95:AP$274&lt;0)/ROW('Total-T7.2019'!AQ$95:AQ$274),),ROW(A11))-94),"")</f>
        <v>5-006-119-11</v>
      </c>
      <c r="F21" s="222"/>
      <c r="G21" s="224">
        <f>IFERROR(INDEX('Total-T7.2019'!AP$95:AP$274,1/LARGE(INDEX(('Total-T7.2019'!AQ$95:AQ$274=N$11)*('Total-T7.2019'!AP$95:AP$274&lt;0)/ROW('Total-T7.2019'!AQ$95:AQ$274),),ROW(A11))-94),"")</f>
        <v>-1</v>
      </c>
      <c r="H21" s="225" t="str">
        <f>IFERROR(INDEX('Total-T7.2019'!AK$95:AK$274,1/LARGE(INDEX(('Total-T7.2019'!AQ$95:AQ$274=N$11)*('Total-T7.2019'!AP$95:AP$274&lt;0)/ROW('Total-T7.2019'!AQ$95:AQ$274),),ROW(A11))-94),"")</f>
        <v>PCS</v>
      </c>
      <c r="I21" s="226"/>
      <c r="J21" s="227">
        <f t="shared" si="0"/>
        <v>0</v>
      </c>
      <c r="K21" s="228"/>
      <c r="L21" s="229"/>
      <c r="Q21" s="140" t="s">
        <v>568</v>
      </c>
    </row>
    <row r="22" spans="2:17" x14ac:dyDescent="0.4">
      <c r="B22" s="221"/>
      <c r="C22" s="255" t="str">
        <f>IFERROR(INDEX('Total-T7.2019'!B$95:B$274,1/LARGE(INDEX(('Total-T7.2019'!AQ$95:AQ$274=N$11)*('Total-T7.2019'!AP$95:AP$274&lt;0)/ROW('Total-T7.2019'!AQ$95:AQ$274),),ROW(A12))-94),"")</f>
        <v>CARD BOARD E9LP</v>
      </c>
      <c r="D22" s="222" t="str">
        <f>IFERROR(INDEX('Total-T7.2019'!D$95:D$274,1/LARGE(INDEX(('Total-T7.2019'!AQ$95:AQ$274=N$11)*('Total-T7.2019'!AP$95:AP$274&lt;0)/ROW('Total-T7.2019'!AQ$95:AQ$274),),ROW(A12))-94),"")</f>
        <v>CARDBOARD (HZ1/E)</v>
      </c>
      <c r="E22" s="223" t="str">
        <f>IFERROR(INDEX('Total-T7.2019'!C$95:C$274,1/LARGE(INDEX(('Total-T7.2019'!AQ$95:AQ$274=N$11)*('Total-T7.2019'!AP$95:AP$274&lt;0)/ROW('Total-T7.2019'!AQ$95:AQ$274),),ROW(A12))-94),"")</f>
        <v>5-006-119-21</v>
      </c>
      <c r="F22" s="222"/>
      <c r="G22" s="224">
        <f>IFERROR(INDEX('Total-T7.2019'!AP$95:AP$274,1/LARGE(INDEX(('Total-T7.2019'!AQ$95:AQ$274=N$11)*('Total-T7.2019'!AP$95:AP$274&lt;0)/ROW('Total-T7.2019'!AQ$95:AQ$274),),ROW(A12))-94),"")</f>
        <v>-1</v>
      </c>
      <c r="H22" s="225" t="str">
        <f>IFERROR(INDEX('Total-T7.2019'!AK$95:AK$274,1/LARGE(INDEX(('Total-T7.2019'!AQ$95:AQ$274=N$11)*('Total-T7.2019'!AP$95:AP$274&lt;0)/ROW('Total-T7.2019'!AQ$95:AQ$274),),ROW(A12))-94),"")</f>
        <v>PCS</v>
      </c>
      <c r="I22" s="226"/>
      <c r="J22" s="227">
        <f t="shared" si="0"/>
        <v>0</v>
      </c>
      <c r="K22" s="230"/>
      <c r="L22" s="231"/>
      <c r="Q22" s="140" t="s">
        <v>569</v>
      </c>
    </row>
    <row r="23" spans="2:17" x14ac:dyDescent="0.4">
      <c r="B23" s="221"/>
      <c r="C23" s="255" t="str">
        <f>IFERROR(INDEX('Total-T7.2019'!B$95:B$274,1/LARGE(INDEX(('Total-T7.2019'!AQ$95:AQ$274=N$11)*('Total-T7.2019'!AP$95:AP$274&lt;0)/ROW('Total-T7.2019'!AQ$95:AQ$274),),ROW(A13))-94),"")</f>
        <v>CARD BOARD E9LP</v>
      </c>
      <c r="D23" s="222" t="str">
        <f>IFERROR(INDEX('Total-T7.2019'!D$95:D$274,1/LARGE(INDEX(('Total-T7.2019'!AQ$95:AQ$274=N$11)*('Total-T7.2019'!AP$95:AP$274&lt;0)/ROW('Total-T7.2019'!AQ$95:AQ$274),),ROW(A13))-94),"")</f>
        <v>CARDBOARD (PZ1/E)</v>
      </c>
      <c r="E23" s="223" t="str">
        <f>IFERROR(INDEX('Total-T7.2019'!C$95:C$274,1/LARGE(INDEX(('Total-T7.2019'!AQ$95:AQ$274=N$11)*('Total-T7.2019'!AP$95:AP$274&lt;0)/ROW('Total-T7.2019'!AQ$95:AQ$274),),ROW(A13))-94),"")</f>
        <v>5-006-119-31</v>
      </c>
      <c r="F23" s="222"/>
      <c r="G23" s="224">
        <f>IFERROR(INDEX('Total-T7.2019'!AP$95:AP$274,1/LARGE(INDEX(('Total-T7.2019'!AQ$95:AQ$274=N$11)*('Total-T7.2019'!AP$95:AP$274&lt;0)/ROW('Total-T7.2019'!AQ$95:AQ$274),),ROW(A13))-94),"")</f>
        <v>-1</v>
      </c>
      <c r="H23" s="225" t="str">
        <f>IFERROR(INDEX('Total-T7.2019'!AK$95:AK$274,1/LARGE(INDEX(('Total-T7.2019'!AQ$95:AQ$274=N$11)*('Total-T7.2019'!AP$95:AP$274&lt;0)/ROW('Total-T7.2019'!AQ$95:AQ$274),),ROW(A13))-94),"")</f>
        <v>PCS</v>
      </c>
      <c r="I23" s="226"/>
      <c r="J23" s="227">
        <f t="shared" si="0"/>
        <v>0</v>
      </c>
      <c r="K23" s="232"/>
      <c r="L23" s="233"/>
      <c r="Q23" s="254"/>
    </row>
    <row r="24" spans="2:17" x14ac:dyDescent="0.4">
      <c r="B24" s="221"/>
      <c r="C24" s="255" t="str">
        <f>IFERROR(INDEX('Total-T7.2019'!B$95:B$274,1/LARGE(INDEX(('Total-T7.2019'!AQ$95:AQ$274=N$11)*('Total-T7.2019'!AP$95:AP$274&lt;0)/ROW('Total-T7.2019'!AQ$95:AQ$274),),ROW(A14))-94),"")</f>
        <v>CARD BOARD E9LP</v>
      </c>
      <c r="D24" s="222" t="str">
        <f>IFERROR(INDEX('Total-T7.2019'!D$95:D$274,1/LARGE(INDEX(('Total-T7.2019'!AQ$95:AQ$274=N$11)*('Total-T7.2019'!AP$95:AP$274&lt;0)/ROW('Total-T7.2019'!AQ$95:AQ$274),),ROW(A14))-94),"")</f>
        <v>CARDBOARD (LZ1/E)</v>
      </c>
      <c r="E24" s="223" t="str">
        <f>IFERROR(INDEX('Total-T7.2019'!C$95:C$274,1/LARGE(INDEX(('Total-T7.2019'!AQ$95:AQ$274=N$11)*('Total-T7.2019'!AP$95:AP$274&lt;0)/ROW('Total-T7.2019'!AQ$95:AQ$274),),ROW(A14))-94),"")</f>
        <v>5-006-119-41</v>
      </c>
      <c r="F24" s="222"/>
      <c r="G24" s="224">
        <f>IFERROR(INDEX('Total-T7.2019'!AP$95:AP$274,1/LARGE(INDEX(('Total-T7.2019'!AQ$95:AQ$274=N$11)*('Total-T7.2019'!AP$95:AP$274&lt;0)/ROW('Total-T7.2019'!AQ$95:AQ$274),),ROW(A14))-94),"")</f>
        <v>-1</v>
      </c>
      <c r="H24" s="225" t="str">
        <f>IFERROR(INDEX('Total-T7.2019'!AK$95:AK$274,1/LARGE(INDEX(('Total-T7.2019'!AQ$95:AQ$274=N$11)*('Total-T7.2019'!AP$95:AP$274&lt;0)/ROW('Total-T7.2019'!AQ$95:AQ$274),),ROW(A14))-94),"")</f>
        <v>PCS</v>
      </c>
      <c r="I24" s="226"/>
      <c r="J24" s="227">
        <f t="shared" si="0"/>
        <v>0</v>
      </c>
      <c r="K24" s="232"/>
      <c r="L24" s="233"/>
      <c r="Q24" s="254"/>
    </row>
    <row r="25" spans="2:17" x14ac:dyDescent="0.4">
      <c r="B25" s="221"/>
      <c r="C25" s="255" t="str">
        <f>IFERROR(INDEX('Total-T7.2019'!B$95:B$274,1/LARGE(INDEX(('Total-T7.2019'!AQ$95:AQ$274=N$11)*('Total-T7.2019'!AP$95:AP$274&lt;0)/ROW('Total-T7.2019'!AQ$95:AQ$274),),ROW(A15))-94),"")</f>
        <v>CARD BOARD E9LP</v>
      </c>
      <c r="D25" s="222" t="str">
        <f>IFERROR(INDEX('Total-T7.2019'!D$95:D$274,1/LARGE(INDEX(('Total-T7.2019'!AQ$95:AQ$274=N$11)*('Total-T7.2019'!AP$95:AP$274&lt;0)/ROW('Total-T7.2019'!AQ$95:AQ$274),),ROW(A15))-94),"")</f>
        <v>CARDBOARD (BZ1/U)</v>
      </c>
      <c r="E25" s="223" t="str">
        <f>IFERROR(INDEX('Total-T7.2019'!C$95:C$274,1/LARGE(INDEX(('Total-T7.2019'!AQ$95:AQ$274=N$11)*('Total-T7.2019'!AP$95:AP$274&lt;0)/ROW('Total-T7.2019'!AQ$95:AQ$274),),ROW(A15))-94),"")</f>
        <v>5-006-120-01</v>
      </c>
      <c r="F25" s="222"/>
      <c r="G25" s="224">
        <f>IFERROR(INDEX('Total-T7.2019'!AP$95:AP$274,1/LARGE(INDEX(('Total-T7.2019'!AQ$95:AQ$274=N$11)*('Total-T7.2019'!AP$95:AP$274&lt;0)/ROW('Total-T7.2019'!AQ$95:AQ$274),),ROW(A15))-94),"")</f>
        <v>-1</v>
      </c>
      <c r="H25" s="225" t="str">
        <f>IFERROR(INDEX('Total-T7.2019'!AK$95:AK$274,1/LARGE(INDEX(('Total-T7.2019'!AQ$95:AQ$274=N$11)*('Total-T7.2019'!AP$95:AP$274&lt;0)/ROW('Total-T7.2019'!AQ$95:AQ$274),),ROW(A15))-94),"")</f>
        <v>PCS</v>
      </c>
      <c r="I25" s="226"/>
      <c r="J25" s="227">
        <f t="shared" si="0"/>
        <v>0</v>
      </c>
      <c r="K25" s="232"/>
      <c r="L25" s="233"/>
      <c r="Q25" s="254"/>
    </row>
    <row r="26" spans="2:17" x14ac:dyDescent="0.4">
      <c r="B26" s="221"/>
      <c r="C26" s="255" t="str">
        <f>IFERROR(INDEX('Total-T7.2019'!B$95:B$274,1/LARGE(INDEX(('Total-T7.2019'!AQ$95:AQ$274=N$11)*('Total-T7.2019'!AP$95:AP$274&lt;0)/ROW('Total-T7.2019'!AQ$95:AQ$274),),ROW(A16))-94),"")</f>
        <v>CARD BOARD E9LP</v>
      </c>
      <c r="D26" s="222" t="str">
        <f>IFERROR(INDEX('Total-T7.2019'!D$95:D$274,1/LARGE(INDEX(('Total-T7.2019'!AQ$95:AQ$274=N$11)*('Total-T7.2019'!AP$95:AP$274&lt;0)/ROW('Total-T7.2019'!AQ$95:AQ$274),),ROW(A16))-94),"")</f>
        <v>CARDBOARD (WIZ1/U)</v>
      </c>
      <c r="E26" s="223" t="str">
        <f>IFERROR(INDEX('Total-T7.2019'!C$95:C$274,1/LARGE(INDEX(('Total-T7.2019'!AQ$95:AQ$274=N$11)*('Total-T7.2019'!AP$95:AP$274&lt;0)/ROW('Total-T7.2019'!AQ$95:AQ$274),),ROW(A16))-94),"")</f>
        <v>5-006-120-11</v>
      </c>
      <c r="F26" s="222"/>
      <c r="G26" s="224">
        <f>IFERROR(INDEX('Total-T7.2019'!AP$95:AP$274,1/LARGE(INDEX(('Total-T7.2019'!AQ$95:AQ$274=N$11)*('Total-T7.2019'!AP$95:AP$274&lt;0)/ROW('Total-T7.2019'!AQ$95:AQ$274),),ROW(A16))-94),"")</f>
        <v>-1</v>
      </c>
      <c r="H26" s="225" t="str">
        <f>IFERROR(INDEX('Total-T7.2019'!AK$95:AK$274,1/LARGE(INDEX(('Total-T7.2019'!AQ$95:AQ$274=N$11)*('Total-T7.2019'!AP$95:AP$274&lt;0)/ROW('Total-T7.2019'!AQ$95:AQ$274),),ROW(A16))-94),"")</f>
        <v>PCS</v>
      </c>
      <c r="I26" s="226"/>
      <c r="J26" s="227">
        <f t="shared" si="0"/>
        <v>0</v>
      </c>
      <c r="K26" s="232"/>
      <c r="L26" s="233"/>
      <c r="Q26" s="254"/>
    </row>
    <row r="27" spans="2:17" x14ac:dyDescent="0.4">
      <c r="B27" s="221"/>
      <c r="C27" s="255" t="str">
        <f>IFERROR(INDEX('Total-T7.2019'!B$95:B$274,1/LARGE(INDEX(('Total-T7.2019'!AQ$95:AQ$274=N$11)*('Total-T7.2019'!AP$95:AP$274&lt;0)/ROW('Total-T7.2019'!AQ$95:AQ$274),),ROW(A17))-94),"")</f>
        <v>CARD BOARD E9LP</v>
      </c>
      <c r="D27" s="222" t="str">
        <f>IFERROR(INDEX('Total-T7.2019'!D$95:D$274,1/LARGE(INDEX(('Total-T7.2019'!AQ$95:AQ$274=N$11)*('Total-T7.2019'!AP$95:AP$274&lt;0)/ROW('Total-T7.2019'!AQ$95:AQ$274),),ROW(A17))-94),"")</f>
        <v>CARDBOARD (HZ1/U)</v>
      </c>
      <c r="E27" s="223" t="str">
        <f>IFERROR(INDEX('Total-T7.2019'!C$95:C$274,1/LARGE(INDEX(('Total-T7.2019'!AQ$95:AQ$274=N$11)*('Total-T7.2019'!AP$95:AP$274&lt;0)/ROW('Total-T7.2019'!AQ$95:AQ$274),),ROW(A17))-94),"")</f>
        <v>5-006-120-21</v>
      </c>
      <c r="F27" s="222"/>
      <c r="G27" s="224">
        <f>IFERROR(INDEX('Total-T7.2019'!AP$95:AP$274,1/LARGE(INDEX(('Total-T7.2019'!AQ$95:AQ$274=N$11)*('Total-T7.2019'!AP$95:AP$274&lt;0)/ROW('Total-T7.2019'!AQ$95:AQ$274),),ROW(A17))-94),"")</f>
        <v>-1</v>
      </c>
      <c r="H27" s="225" t="str">
        <f>IFERROR(INDEX('Total-T7.2019'!AK$95:AK$274,1/LARGE(INDEX(('Total-T7.2019'!AQ$95:AQ$274=N$11)*('Total-T7.2019'!AP$95:AP$274&lt;0)/ROW('Total-T7.2019'!AQ$95:AQ$274),),ROW(A17))-94),"")</f>
        <v>PCS</v>
      </c>
      <c r="I27" s="226"/>
      <c r="J27" s="227">
        <f t="shared" si="0"/>
        <v>0</v>
      </c>
      <c r="K27" s="232"/>
      <c r="L27" s="233"/>
      <c r="Q27" s="254"/>
    </row>
    <row r="28" spans="2:17" x14ac:dyDescent="0.4">
      <c r="B28" s="221"/>
      <c r="C28" s="255" t="str">
        <f>IFERROR(INDEX('Total-T7.2019'!B$95:B$274,1/LARGE(INDEX(('Total-T7.2019'!AQ$95:AQ$274=N$11)*('Total-T7.2019'!AP$95:AP$274&lt;0)/ROW('Total-T7.2019'!AQ$95:AQ$274),),ROW(A18))-94),"")</f>
        <v>CARD BOARD E9LP</v>
      </c>
      <c r="D28" s="222" t="str">
        <f>IFERROR(INDEX('Total-T7.2019'!D$95:D$274,1/LARGE(INDEX(('Total-T7.2019'!AQ$95:AQ$274=N$11)*('Total-T7.2019'!AP$95:AP$274&lt;0)/ROW('Total-T7.2019'!AQ$95:AQ$274),),ROW(A18))-94),"")</f>
        <v>CARDBOARD (PZ1/U)</v>
      </c>
      <c r="E28" s="223" t="str">
        <f>IFERROR(INDEX('Total-T7.2019'!C$95:C$274,1/LARGE(INDEX(('Total-T7.2019'!AQ$95:AQ$274=N$11)*('Total-T7.2019'!AP$95:AP$274&lt;0)/ROW('Total-T7.2019'!AQ$95:AQ$274),),ROW(A18))-94),"")</f>
        <v>5-006-120-31</v>
      </c>
      <c r="F28" s="222"/>
      <c r="G28" s="224">
        <f>IFERROR(INDEX('Total-T7.2019'!AP$95:AP$274,1/LARGE(INDEX(('Total-T7.2019'!AQ$95:AQ$274=N$11)*('Total-T7.2019'!AP$95:AP$274&lt;0)/ROW('Total-T7.2019'!AQ$95:AQ$274),),ROW(A18))-94),"")</f>
        <v>-1</v>
      </c>
      <c r="H28" s="225" t="str">
        <f>IFERROR(INDEX('Total-T7.2019'!AK$95:AK$274,1/LARGE(INDEX(('Total-T7.2019'!AQ$95:AQ$274=N$11)*('Total-T7.2019'!AP$95:AP$274&lt;0)/ROW('Total-T7.2019'!AQ$95:AQ$274),),ROW(A18))-94),"")</f>
        <v>PCS</v>
      </c>
      <c r="I28" s="226"/>
      <c r="J28" s="227">
        <f t="shared" si="0"/>
        <v>0</v>
      </c>
      <c r="K28" s="232"/>
      <c r="L28" s="233"/>
      <c r="Q28" s="254"/>
    </row>
    <row r="29" spans="2:17" x14ac:dyDescent="0.4">
      <c r="B29" s="221"/>
      <c r="C29" s="255" t="str">
        <f>IFERROR(INDEX('Total-T7.2019'!B$95:B$274,1/LARGE(INDEX(('Total-T7.2019'!AQ$95:AQ$274=N$11)*('Total-T7.2019'!AP$95:AP$274&lt;0)/ROW('Total-T7.2019'!AQ$95:AQ$274),),ROW(A19))-94),"")</f>
        <v>CARD BOARD E9LP</v>
      </c>
      <c r="D29" s="222" t="str">
        <f>IFERROR(INDEX('Total-T7.2019'!D$95:D$274,1/LARGE(INDEX(('Total-T7.2019'!AQ$95:AQ$274=N$11)*('Total-T7.2019'!AP$95:AP$274&lt;0)/ROW('Total-T7.2019'!AQ$95:AQ$274),),ROW(A19))-94),"")</f>
        <v>CARDBOARD (LZ1/U)</v>
      </c>
      <c r="E29" s="223" t="str">
        <f>IFERROR(INDEX('Total-T7.2019'!C$95:C$274,1/LARGE(INDEX(('Total-T7.2019'!AQ$95:AQ$274=N$11)*('Total-T7.2019'!AP$95:AP$274&lt;0)/ROW('Total-T7.2019'!AQ$95:AQ$274),),ROW(A19))-94),"")</f>
        <v>5-006-120-41</v>
      </c>
      <c r="F29" s="234"/>
      <c r="G29" s="224">
        <f>IFERROR(INDEX('Total-T7.2019'!AP$95:AP$274,1/LARGE(INDEX(('Total-T7.2019'!AQ$95:AQ$274=N$11)*('Total-T7.2019'!AP$95:AP$274&lt;0)/ROW('Total-T7.2019'!AQ$95:AQ$274),),ROW(A19))-94),"")</f>
        <v>-1</v>
      </c>
      <c r="H29" s="225" t="str">
        <f>IFERROR(INDEX('Total-T7.2019'!AK$95:AK$274,1/LARGE(INDEX(('Total-T7.2019'!AQ$95:AQ$274=N$11)*('Total-T7.2019'!AP$95:AP$274&lt;0)/ROW('Total-T7.2019'!AQ$95:AQ$274),),ROW(A19))-94),"")</f>
        <v>PCS</v>
      </c>
      <c r="I29" s="226"/>
      <c r="J29" s="227">
        <f t="shared" si="0"/>
        <v>0</v>
      </c>
      <c r="K29" s="232"/>
      <c r="L29" s="233"/>
      <c r="Q29" s="254"/>
    </row>
    <row r="30" spans="2:17" x14ac:dyDescent="0.4">
      <c r="B30" s="221"/>
      <c r="C30" s="255" t="str">
        <f>IFERROR(INDEX('Total-T7.2019'!B$95:B$274,1/LARGE(INDEX(('Total-T7.2019'!AQ$95:AQ$274=N$11)*('Total-T7.2019'!AP$95:AP$274&lt;0)/ROW('Total-T7.2019'!AQ$95:AQ$274),),ROW(A20))-94),"")</f>
        <v>CARD BOARD E9LP</v>
      </c>
      <c r="D30" s="222" t="str">
        <f>IFERROR(INDEX('Total-T7.2019'!D$95:D$274,1/LARGE(INDEX(('Total-T7.2019'!AQ$95:AQ$274=N$11)*('Total-T7.2019'!AP$95:AP$274&lt;0)/ROW('Total-T7.2019'!AQ$95:AQ$274),),ROW(A20))-94),"")</f>
        <v>CARDBOARD (BZ1/AE)</v>
      </c>
      <c r="E30" s="223" t="str">
        <f>IFERROR(INDEX('Total-T7.2019'!C$95:C$274,1/LARGE(INDEX(('Total-T7.2019'!AQ$95:AQ$274=N$11)*('Total-T7.2019'!AP$95:AP$274&lt;0)/ROW('Total-T7.2019'!AQ$95:AQ$274),),ROW(A20))-94),"")</f>
        <v>5-006-121-01</v>
      </c>
      <c r="F30" s="234"/>
      <c r="G30" s="224">
        <f>IFERROR(INDEX('Total-T7.2019'!AP$95:AP$274,1/LARGE(INDEX(('Total-T7.2019'!AQ$95:AQ$274=N$11)*('Total-T7.2019'!AP$95:AP$274&lt;0)/ROW('Total-T7.2019'!AQ$95:AQ$274),),ROW(A20))-94),"")</f>
        <v>-1</v>
      </c>
      <c r="H30" s="225" t="str">
        <f>IFERROR(INDEX('Total-T7.2019'!AK$95:AK$274,1/LARGE(INDEX(('Total-T7.2019'!AQ$95:AQ$274=N$11)*('Total-T7.2019'!AP$95:AP$274&lt;0)/ROW('Total-T7.2019'!AQ$95:AQ$274),),ROW(A20))-94),"")</f>
        <v>PCS</v>
      </c>
      <c r="I30" s="226"/>
      <c r="J30" s="227">
        <f t="shared" si="0"/>
        <v>0</v>
      </c>
      <c r="K30" s="232"/>
      <c r="L30" s="233"/>
      <c r="Q30" s="254"/>
    </row>
    <row r="31" spans="2:17" x14ac:dyDescent="0.4">
      <c r="B31" s="221"/>
      <c r="C31" s="255" t="str">
        <f>IFERROR(INDEX('Total-T7.2019'!B$95:B$274,1/LARGE(INDEX(('Total-T7.2019'!AQ$95:AQ$274=N$11)*('Total-T7.2019'!AP$95:AP$274&lt;0)/ROW('Total-T7.2019'!AQ$95:AQ$274),),ROW(A21))-94),"")</f>
        <v>CARD BOARD E9LP</v>
      </c>
      <c r="D31" s="222" t="str">
        <f>IFERROR(INDEX('Total-T7.2019'!D$95:D$274,1/LARGE(INDEX(('Total-T7.2019'!AQ$95:AQ$274=N$11)*('Total-T7.2019'!AP$95:AP$274&lt;0)/ROW('Total-T7.2019'!AQ$95:AQ$274),),ROW(A21))-94),"")</f>
        <v>CARDBOARD (HZ1/AE)</v>
      </c>
      <c r="E31" s="223" t="str">
        <f>IFERROR(INDEX('Total-T7.2019'!C$95:C$274,1/LARGE(INDEX(('Total-T7.2019'!AQ$95:AQ$274=N$11)*('Total-T7.2019'!AP$95:AP$274&lt;0)/ROW('Total-T7.2019'!AQ$95:AQ$274),),ROW(A21))-94),"")</f>
        <v>5-006-121-11</v>
      </c>
      <c r="F31" s="222"/>
      <c r="G31" s="224">
        <f>IFERROR(INDEX('Total-T7.2019'!AP$95:AP$274,1/LARGE(INDEX(('Total-T7.2019'!AQ$95:AQ$274=N$11)*('Total-T7.2019'!AP$95:AP$274&lt;0)/ROW('Total-T7.2019'!AQ$95:AQ$274),),ROW(A21))-94),"")</f>
        <v>-1</v>
      </c>
      <c r="H31" s="225" t="str">
        <f>IFERROR(INDEX('Total-T7.2019'!AK$95:AK$274,1/LARGE(INDEX(('Total-T7.2019'!AQ$95:AQ$274=N$11)*('Total-T7.2019'!AP$95:AP$274&lt;0)/ROW('Total-T7.2019'!AQ$95:AQ$274),),ROW(A21))-94),"")</f>
        <v>PCS</v>
      </c>
      <c r="I31" s="226"/>
      <c r="J31" s="227">
        <f t="shared" si="0"/>
        <v>0</v>
      </c>
      <c r="K31" s="232"/>
      <c r="L31" s="233"/>
      <c r="Q31" s="254"/>
    </row>
    <row r="32" spans="2:17" x14ac:dyDescent="0.4">
      <c r="B32" s="221"/>
      <c r="C32" s="255" t="str">
        <f>IFERROR(INDEX('Total-T7.2019'!B$95:B$274,1/LARGE(INDEX(('Total-T7.2019'!AQ$95:AQ$274=N$11)*('Total-T7.2019'!AP$95:AP$274&lt;0)/ROW('Total-T7.2019'!AQ$95:AQ$274),),ROW(A22))-94),"")</f>
        <v>CARD BOARD E9LP</v>
      </c>
      <c r="D32" s="222" t="str">
        <f>IFERROR(INDEX('Total-T7.2019'!D$95:D$274,1/LARGE(INDEX(('Total-T7.2019'!AQ$95:AQ$274=N$11)*('Total-T7.2019'!AP$95:AP$274&lt;0)/ROW('Total-T7.2019'!AQ$95:AQ$274),),ROW(A22))-94),"")</f>
        <v>CARDBOARD (PZ1/AE)</v>
      </c>
      <c r="E32" s="223" t="str">
        <f>IFERROR(INDEX('Total-T7.2019'!C$95:C$274,1/LARGE(INDEX(('Total-T7.2019'!AQ$95:AQ$274=N$11)*('Total-T7.2019'!AP$95:AP$274&lt;0)/ROW('Total-T7.2019'!AQ$95:AQ$274),),ROW(A22))-94),"")</f>
        <v>5-006-121-21</v>
      </c>
      <c r="F32" s="235"/>
      <c r="G32" s="224">
        <f>IFERROR(INDEX('Total-T7.2019'!AP$95:AP$274,1/LARGE(INDEX(('Total-T7.2019'!AQ$95:AQ$274=N$11)*('Total-T7.2019'!AP$95:AP$274&lt;0)/ROW('Total-T7.2019'!AQ$95:AQ$274),),ROW(A22))-94),"")</f>
        <v>-1</v>
      </c>
      <c r="H32" s="225" t="str">
        <f>IFERROR(INDEX('Total-T7.2019'!AK$95:AK$274,1/LARGE(INDEX(('Total-T7.2019'!AQ$95:AQ$274=N$11)*('Total-T7.2019'!AP$95:AP$274&lt;0)/ROW('Total-T7.2019'!AQ$95:AQ$274),),ROW(A22))-94),"")</f>
        <v>PCS</v>
      </c>
      <c r="I32" s="226"/>
      <c r="J32" s="227">
        <f t="shared" si="0"/>
        <v>0</v>
      </c>
      <c r="K32" s="232"/>
      <c r="L32" s="233"/>
      <c r="Q32" s="254"/>
    </row>
    <row r="33" spans="2:17" x14ac:dyDescent="0.4">
      <c r="B33" s="221"/>
      <c r="C33" s="255" t="str">
        <f>IFERROR(INDEX('Total-T7.2019'!B$95:B$274,1/LARGE(INDEX(('Total-T7.2019'!AQ$95:AQ$274=N$11)*('Total-T7.2019'!AP$95:AP$274&lt;0)/ROW('Total-T7.2019'!AQ$95:AQ$274),),ROW(A23))-94),"")</f>
        <v>CARD BOARD E9LP</v>
      </c>
      <c r="D33" s="222" t="str">
        <f>IFERROR(INDEX('Total-T7.2019'!D$95:D$274,1/LARGE(INDEX(('Total-T7.2019'!AQ$95:AQ$274=N$11)*('Total-T7.2019'!AP$95:AP$274&lt;0)/ROW('Total-T7.2019'!AQ$95:AQ$274),),ROW(A23))-94),"")</f>
        <v>CARDBOARD (LZ1/AE)</v>
      </c>
      <c r="E33" s="223" t="str">
        <f>IFERROR(INDEX('Total-T7.2019'!C$95:C$274,1/LARGE(INDEX(('Total-T7.2019'!AQ$95:AQ$274=N$11)*('Total-T7.2019'!AP$95:AP$274&lt;0)/ROW('Total-T7.2019'!AQ$95:AQ$274),),ROW(A23))-94),"")</f>
        <v>5-006-121-31</v>
      </c>
      <c r="F33" s="235"/>
      <c r="G33" s="224">
        <f>IFERROR(INDEX('Total-T7.2019'!AP$95:AP$274,1/LARGE(INDEX(('Total-T7.2019'!AQ$95:AQ$274=N$11)*('Total-T7.2019'!AP$95:AP$274&lt;0)/ROW('Total-T7.2019'!AQ$95:AQ$274),),ROW(A23))-94),"")</f>
        <v>-1</v>
      </c>
      <c r="H33" s="225" t="str">
        <f>IFERROR(INDEX('Total-T7.2019'!AK$95:AK$274,1/LARGE(INDEX(('Total-T7.2019'!AQ$95:AQ$274=N$11)*('Total-T7.2019'!AP$95:AP$274&lt;0)/ROW('Total-T7.2019'!AQ$95:AQ$274),),ROW(A23))-94),"")</f>
        <v>PCS</v>
      </c>
      <c r="I33" s="226"/>
      <c r="J33" s="227">
        <f t="shared" si="0"/>
        <v>0</v>
      </c>
      <c r="K33" s="232"/>
      <c r="L33" s="233"/>
      <c r="Q33" s="254"/>
    </row>
    <row r="34" spans="2:17" x14ac:dyDescent="0.4">
      <c r="B34" s="302" t="s">
        <v>627</v>
      </c>
      <c r="C34" s="303"/>
      <c r="D34" s="303"/>
      <c r="E34" s="303"/>
      <c r="F34" s="303"/>
      <c r="G34" s="304">
        <f>SUM(G11:G33)</f>
        <v>-47</v>
      </c>
      <c r="H34" s="304"/>
      <c r="I34" s="304"/>
      <c r="J34" s="305">
        <f>SUM(J11:J33)</f>
        <v>0</v>
      </c>
      <c r="K34" s="305"/>
      <c r="L34" s="236"/>
      <c r="Q34" s="254"/>
    </row>
    <row r="35" spans="2:17" ht="18" thickBot="1" x14ac:dyDescent="0.45">
      <c r="B35" s="293" t="s">
        <v>628</v>
      </c>
      <c r="C35" s="294"/>
      <c r="D35" s="294"/>
      <c r="E35" s="294"/>
      <c r="F35" s="294"/>
      <c r="G35" s="294"/>
      <c r="H35" s="294"/>
      <c r="I35" s="294"/>
      <c r="J35" s="294"/>
      <c r="K35" s="294"/>
      <c r="L35" s="295"/>
      <c r="Q35" s="254"/>
    </row>
    <row r="36" spans="2:17" x14ac:dyDescent="0.4">
      <c r="B36" s="198"/>
      <c r="C36" s="198"/>
      <c r="D36" s="199"/>
      <c r="E36" s="199"/>
      <c r="F36" s="198"/>
      <c r="G36" s="199"/>
      <c r="H36" s="237"/>
      <c r="I36" s="238"/>
      <c r="J36" s="239"/>
      <c r="K36" s="296" t="s">
        <v>629</v>
      </c>
      <c r="L36" s="296"/>
      <c r="Q36" s="254"/>
    </row>
    <row r="37" spans="2:17" x14ac:dyDescent="0.4">
      <c r="B37" s="240" t="s">
        <v>630</v>
      </c>
      <c r="C37" s="240"/>
      <c r="D37" s="241"/>
      <c r="E37" s="241"/>
      <c r="F37" s="242"/>
      <c r="G37" s="243"/>
      <c r="H37" s="242"/>
      <c r="I37" s="242"/>
      <c r="J37" s="244"/>
      <c r="K37" s="244"/>
      <c r="L37" s="198"/>
      <c r="Q37" s="254"/>
    </row>
    <row r="38" spans="2:17" x14ac:dyDescent="0.4">
      <c r="B38" s="240" t="s">
        <v>631</v>
      </c>
      <c r="C38" s="240"/>
      <c r="D38" s="242" t="s">
        <v>632</v>
      </c>
      <c r="E38" s="242"/>
      <c r="F38" s="242"/>
      <c r="G38" s="243"/>
      <c r="H38" s="242"/>
      <c r="I38" s="242"/>
      <c r="J38" s="244"/>
      <c r="K38" s="244"/>
      <c r="L38" s="242"/>
      <c r="Q38" s="254"/>
    </row>
    <row r="39" spans="2:17" x14ac:dyDescent="0.4">
      <c r="B39" s="240" t="s">
        <v>633</v>
      </c>
      <c r="C39" s="240"/>
      <c r="D39" s="245" t="s">
        <v>634</v>
      </c>
      <c r="E39" s="245"/>
      <c r="F39" s="245"/>
      <c r="G39" s="242"/>
      <c r="H39" s="242"/>
      <c r="I39" s="242"/>
      <c r="J39" s="246"/>
      <c r="K39" s="240"/>
      <c r="L39" s="242"/>
      <c r="Q39" s="254"/>
    </row>
    <row r="40" spans="2:17" ht="18" thickBot="1" x14ac:dyDescent="0.45">
      <c r="B40" s="240" t="s">
        <v>635</v>
      </c>
      <c r="C40" s="240"/>
      <c r="D40" s="242" t="s">
        <v>636</v>
      </c>
      <c r="E40" s="242"/>
      <c r="F40" s="242"/>
      <c r="G40" s="242"/>
      <c r="H40" s="242"/>
      <c r="I40" s="247" t="s">
        <v>637</v>
      </c>
      <c r="J40" s="248"/>
      <c r="K40" s="249"/>
      <c r="L40" s="249"/>
      <c r="Q40" s="254"/>
    </row>
    <row r="41" spans="2:17" x14ac:dyDescent="0.4">
      <c r="Q41" s="254"/>
    </row>
    <row r="42" spans="2:17" x14ac:dyDescent="0.4">
      <c r="Q42" s="254"/>
    </row>
    <row r="43" spans="2:17" x14ac:dyDescent="0.4">
      <c r="Q43" s="254"/>
    </row>
    <row r="44" spans="2:17" x14ac:dyDescent="0.4">
      <c r="Q44" s="254"/>
    </row>
    <row r="45" spans="2:17" x14ac:dyDescent="0.4">
      <c r="Q45" s="254"/>
    </row>
    <row r="46" spans="2:17" x14ac:dyDescent="0.4">
      <c r="Q46" s="254"/>
    </row>
    <row r="47" spans="2:17" x14ac:dyDescent="0.4">
      <c r="Q47" s="254"/>
    </row>
    <row r="48" spans="2:17" x14ac:dyDescent="0.4">
      <c r="Q48" s="254"/>
    </row>
    <row r="49" spans="17:17" x14ac:dyDescent="0.4">
      <c r="Q49" s="254"/>
    </row>
    <row r="50" spans="17:17" x14ac:dyDescent="0.4">
      <c r="Q50" s="254"/>
    </row>
    <row r="51" spans="17:17" x14ac:dyDescent="0.4">
      <c r="Q51" s="254"/>
    </row>
    <row r="52" spans="17:17" x14ac:dyDescent="0.4">
      <c r="Q52" s="254"/>
    </row>
    <row r="53" spans="17:17" x14ac:dyDescent="0.4">
      <c r="Q53" s="254"/>
    </row>
    <row r="54" spans="17:17" x14ac:dyDescent="0.4">
      <c r="Q54" s="254"/>
    </row>
    <row r="55" spans="17:17" x14ac:dyDescent="0.4">
      <c r="Q55" s="254"/>
    </row>
    <row r="56" spans="17:17" x14ac:dyDescent="0.4">
      <c r="Q56" s="254"/>
    </row>
    <row r="57" spans="17:17" x14ac:dyDescent="0.4">
      <c r="Q57" s="254"/>
    </row>
    <row r="58" spans="17:17" x14ac:dyDescent="0.4">
      <c r="Q58" s="254"/>
    </row>
    <row r="59" spans="17:17" x14ac:dyDescent="0.4">
      <c r="Q59" s="254"/>
    </row>
    <row r="60" spans="17:17" x14ac:dyDescent="0.4">
      <c r="Q60" s="254"/>
    </row>
    <row r="61" spans="17:17" x14ac:dyDescent="0.4">
      <c r="Q61" s="254"/>
    </row>
    <row r="62" spans="17:17" x14ac:dyDescent="0.4">
      <c r="Q62" s="254"/>
    </row>
    <row r="63" spans="17:17" x14ac:dyDescent="0.4">
      <c r="Q63" s="254"/>
    </row>
    <row r="64" spans="17:17" x14ac:dyDescent="0.4">
      <c r="Q64" s="254"/>
    </row>
    <row r="65" spans="17:17" x14ac:dyDescent="0.4">
      <c r="Q65" s="254"/>
    </row>
    <row r="66" spans="17:17" x14ac:dyDescent="0.4">
      <c r="Q66" s="254"/>
    </row>
    <row r="67" spans="17:17" x14ac:dyDescent="0.4">
      <c r="Q67" s="254"/>
    </row>
    <row r="68" spans="17:17" x14ac:dyDescent="0.4">
      <c r="Q68" s="254"/>
    </row>
    <row r="69" spans="17:17" x14ac:dyDescent="0.4">
      <c r="Q69" s="254"/>
    </row>
    <row r="70" spans="17:17" x14ac:dyDescent="0.4">
      <c r="Q70" s="254"/>
    </row>
    <row r="71" spans="17:17" x14ac:dyDescent="0.4">
      <c r="Q71" s="254"/>
    </row>
    <row r="72" spans="17:17" x14ac:dyDescent="0.4">
      <c r="Q72" s="254"/>
    </row>
    <row r="73" spans="17:17" x14ac:dyDescent="0.4">
      <c r="Q73" s="254"/>
    </row>
    <row r="74" spans="17:17" x14ac:dyDescent="0.4">
      <c r="Q74" s="254"/>
    </row>
    <row r="75" spans="17:17" x14ac:dyDescent="0.4">
      <c r="Q75" s="254"/>
    </row>
    <row r="76" spans="17:17" x14ac:dyDescent="0.4">
      <c r="Q76" s="254"/>
    </row>
    <row r="77" spans="17:17" x14ac:dyDescent="0.4">
      <c r="Q77" s="254"/>
    </row>
    <row r="78" spans="17:17" x14ac:dyDescent="0.4">
      <c r="Q78" s="254"/>
    </row>
    <row r="79" spans="17:17" x14ac:dyDescent="0.4">
      <c r="Q79" s="254"/>
    </row>
    <row r="80" spans="17:17" x14ac:dyDescent="0.4">
      <c r="Q80" s="254"/>
    </row>
    <row r="81" spans="17:17" x14ac:dyDescent="0.4">
      <c r="Q81" s="254"/>
    </row>
    <row r="82" spans="17:17" x14ac:dyDescent="0.4">
      <c r="Q82" s="254"/>
    </row>
    <row r="83" spans="17:17" x14ac:dyDescent="0.4">
      <c r="Q83" s="254"/>
    </row>
    <row r="84" spans="17:17" x14ac:dyDescent="0.4">
      <c r="Q84" s="254"/>
    </row>
    <row r="85" spans="17:17" x14ac:dyDescent="0.4">
      <c r="Q85" s="254"/>
    </row>
    <row r="86" spans="17:17" x14ac:dyDescent="0.4">
      <c r="Q86" s="254"/>
    </row>
    <row r="87" spans="17:17" x14ac:dyDescent="0.4">
      <c r="Q87" s="254"/>
    </row>
    <row r="88" spans="17:17" x14ac:dyDescent="0.4">
      <c r="Q88" s="254"/>
    </row>
    <row r="89" spans="17:17" x14ac:dyDescent="0.4">
      <c r="Q89" s="254"/>
    </row>
    <row r="90" spans="17:17" x14ac:dyDescent="0.4">
      <c r="Q90" s="254"/>
    </row>
    <row r="91" spans="17:17" x14ac:dyDescent="0.4">
      <c r="Q91" s="254"/>
    </row>
    <row r="92" spans="17:17" x14ac:dyDescent="0.4">
      <c r="Q92" s="254"/>
    </row>
    <row r="93" spans="17:17" x14ac:dyDescent="0.4">
      <c r="Q93" s="254"/>
    </row>
    <row r="94" spans="17:17" x14ac:dyDescent="0.4">
      <c r="Q94" s="254"/>
    </row>
    <row r="95" spans="17:17" x14ac:dyDescent="0.4">
      <c r="Q95" s="254"/>
    </row>
    <row r="96" spans="17:17" x14ac:dyDescent="0.4">
      <c r="Q96" s="254"/>
    </row>
    <row r="97" spans="17:17" x14ac:dyDescent="0.4">
      <c r="Q97" s="254"/>
    </row>
    <row r="98" spans="17:17" x14ac:dyDescent="0.4">
      <c r="Q98" s="254"/>
    </row>
    <row r="99" spans="17:17" x14ac:dyDescent="0.4">
      <c r="Q99" s="254"/>
    </row>
    <row r="100" spans="17:17" x14ac:dyDescent="0.4">
      <c r="Q100" s="254"/>
    </row>
    <row r="101" spans="17:17" x14ac:dyDescent="0.4">
      <c r="Q101" s="254"/>
    </row>
    <row r="102" spans="17:17" x14ac:dyDescent="0.4">
      <c r="Q102" s="254"/>
    </row>
    <row r="103" spans="17:17" x14ac:dyDescent="0.4">
      <c r="Q103" s="254"/>
    </row>
    <row r="104" spans="17:17" x14ac:dyDescent="0.4">
      <c r="Q104" s="254"/>
    </row>
    <row r="105" spans="17:17" x14ac:dyDescent="0.4">
      <c r="Q105" s="254"/>
    </row>
    <row r="106" spans="17:17" x14ac:dyDescent="0.4">
      <c r="Q106" s="254"/>
    </row>
    <row r="107" spans="17:17" x14ac:dyDescent="0.4">
      <c r="Q107" s="254"/>
    </row>
    <row r="108" spans="17:17" x14ac:dyDescent="0.4">
      <c r="Q108" s="254"/>
    </row>
    <row r="109" spans="17:17" x14ac:dyDescent="0.4">
      <c r="Q109" s="254"/>
    </row>
    <row r="110" spans="17:17" x14ac:dyDescent="0.4">
      <c r="Q110" s="254"/>
    </row>
    <row r="111" spans="17:17" x14ac:dyDescent="0.4">
      <c r="Q111" s="254"/>
    </row>
    <row r="112" spans="17:17" x14ac:dyDescent="0.4">
      <c r="Q112" s="254"/>
    </row>
    <row r="113" spans="17:17" x14ac:dyDescent="0.4">
      <c r="Q113" s="254"/>
    </row>
    <row r="114" spans="17:17" x14ac:dyDescent="0.4">
      <c r="Q114" s="254"/>
    </row>
    <row r="115" spans="17:17" x14ac:dyDescent="0.4">
      <c r="Q115" s="254"/>
    </row>
    <row r="116" spans="17:17" x14ac:dyDescent="0.4">
      <c r="Q116" s="254"/>
    </row>
    <row r="117" spans="17:17" x14ac:dyDescent="0.4">
      <c r="Q117" s="254"/>
    </row>
    <row r="118" spans="17:17" x14ac:dyDescent="0.4">
      <c r="Q118" s="254"/>
    </row>
    <row r="119" spans="17:17" x14ac:dyDescent="0.4">
      <c r="Q119" s="254"/>
    </row>
    <row r="120" spans="17:17" x14ac:dyDescent="0.4">
      <c r="Q120" s="254"/>
    </row>
    <row r="121" spans="17:17" x14ac:dyDescent="0.4">
      <c r="Q121" s="254"/>
    </row>
    <row r="122" spans="17:17" x14ac:dyDescent="0.4">
      <c r="Q122" s="254"/>
    </row>
    <row r="123" spans="17:17" x14ac:dyDescent="0.4">
      <c r="Q123" s="254"/>
    </row>
    <row r="124" spans="17:17" x14ac:dyDescent="0.4">
      <c r="Q124" s="254"/>
    </row>
    <row r="125" spans="17:17" x14ac:dyDescent="0.4">
      <c r="Q125" s="254"/>
    </row>
    <row r="126" spans="17:17" x14ac:dyDescent="0.4">
      <c r="Q126" s="254"/>
    </row>
    <row r="127" spans="17:17" x14ac:dyDescent="0.4">
      <c r="Q127" s="254"/>
    </row>
    <row r="128" spans="17:17" x14ac:dyDescent="0.4">
      <c r="Q128" s="254"/>
    </row>
    <row r="129" spans="17:17" x14ac:dyDescent="0.4">
      <c r="Q129" s="254"/>
    </row>
    <row r="130" spans="17:17" x14ac:dyDescent="0.4">
      <c r="Q130" s="254"/>
    </row>
    <row r="131" spans="17:17" x14ac:dyDescent="0.4">
      <c r="Q131" s="254"/>
    </row>
    <row r="132" spans="17:17" x14ac:dyDescent="0.4">
      <c r="Q132" s="254"/>
    </row>
    <row r="133" spans="17:17" x14ac:dyDescent="0.4">
      <c r="Q133" s="254"/>
    </row>
    <row r="134" spans="17:17" x14ac:dyDescent="0.4">
      <c r="Q134" s="254"/>
    </row>
    <row r="135" spans="17:17" x14ac:dyDescent="0.4">
      <c r="Q135" s="254"/>
    </row>
    <row r="136" spans="17:17" x14ac:dyDescent="0.4">
      <c r="Q136" s="254"/>
    </row>
    <row r="137" spans="17:17" x14ac:dyDescent="0.4">
      <c r="Q137" s="254"/>
    </row>
    <row r="138" spans="17:17" x14ac:dyDescent="0.4">
      <c r="Q138" s="254"/>
    </row>
    <row r="139" spans="17:17" x14ac:dyDescent="0.4">
      <c r="Q139" s="254"/>
    </row>
    <row r="140" spans="17:17" x14ac:dyDescent="0.4">
      <c r="Q140" s="254"/>
    </row>
    <row r="141" spans="17:17" x14ac:dyDescent="0.4">
      <c r="Q141" s="254"/>
    </row>
    <row r="142" spans="17:17" x14ac:dyDescent="0.4">
      <c r="Q142" s="254"/>
    </row>
    <row r="143" spans="17:17" x14ac:dyDescent="0.4">
      <c r="Q143" s="254"/>
    </row>
    <row r="144" spans="17:17" x14ac:dyDescent="0.4">
      <c r="Q144" s="254"/>
    </row>
    <row r="145" spans="17:17" x14ac:dyDescent="0.4">
      <c r="Q145" s="254"/>
    </row>
    <row r="146" spans="17:17" x14ac:dyDescent="0.4">
      <c r="Q146" s="254"/>
    </row>
    <row r="147" spans="17:17" x14ac:dyDescent="0.4">
      <c r="Q147" s="254"/>
    </row>
    <row r="148" spans="17:17" x14ac:dyDescent="0.4">
      <c r="Q148" s="254"/>
    </row>
    <row r="149" spans="17:17" x14ac:dyDescent="0.4">
      <c r="Q149" s="254"/>
    </row>
    <row r="150" spans="17:17" x14ac:dyDescent="0.4">
      <c r="Q150" s="254"/>
    </row>
    <row r="151" spans="17:17" x14ac:dyDescent="0.4">
      <c r="Q151" s="254"/>
    </row>
    <row r="152" spans="17:17" x14ac:dyDescent="0.4">
      <c r="Q152" s="254"/>
    </row>
    <row r="153" spans="17:17" x14ac:dyDescent="0.4">
      <c r="Q153" s="254"/>
    </row>
    <row r="154" spans="17:17" x14ac:dyDescent="0.4">
      <c r="Q154" s="254"/>
    </row>
    <row r="155" spans="17:17" x14ac:dyDescent="0.4">
      <c r="Q155" s="254"/>
    </row>
    <row r="156" spans="17:17" x14ac:dyDescent="0.4">
      <c r="Q156" s="254"/>
    </row>
    <row r="157" spans="17:17" x14ac:dyDescent="0.4">
      <c r="Q157" s="254"/>
    </row>
    <row r="158" spans="17:17" x14ac:dyDescent="0.4">
      <c r="Q158" s="254"/>
    </row>
    <row r="159" spans="17:17" x14ac:dyDescent="0.4">
      <c r="Q159" s="254"/>
    </row>
    <row r="160" spans="17:17" x14ac:dyDescent="0.4">
      <c r="Q160" s="254"/>
    </row>
    <row r="161" spans="17:17" x14ac:dyDescent="0.4">
      <c r="Q161" s="254"/>
    </row>
    <row r="162" spans="17:17" x14ac:dyDescent="0.4">
      <c r="Q162" s="254"/>
    </row>
    <row r="163" spans="17:17" x14ac:dyDescent="0.4">
      <c r="Q163" s="254"/>
    </row>
    <row r="164" spans="17:17" x14ac:dyDescent="0.4">
      <c r="Q164" s="254"/>
    </row>
    <row r="165" spans="17:17" x14ac:dyDescent="0.4">
      <c r="Q165" s="254"/>
    </row>
    <row r="166" spans="17:17" x14ac:dyDescent="0.4">
      <c r="Q166" s="254"/>
    </row>
    <row r="167" spans="17:17" x14ac:dyDescent="0.4">
      <c r="Q167" s="254"/>
    </row>
    <row r="168" spans="17:17" x14ac:dyDescent="0.4">
      <c r="Q168" s="254"/>
    </row>
    <row r="169" spans="17:17" x14ac:dyDescent="0.4">
      <c r="Q169" s="254"/>
    </row>
    <row r="170" spans="17:17" x14ac:dyDescent="0.4">
      <c r="Q170" s="254"/>
    </row>
    <row r="171" spans="17:17" x14ac:dyDescent="0.4">
      <c r="Q171" s="254"/>
    </row>
    <row r="172" spans="17:17" x14ac:dyDescent="0.4">
      <c r="Q172" s="254"/>
    </row>
    <row r="173" spans="17:17" x14ac:dyDescent="0.4">
      <c r="Q173" s="254"/>
    </row>
    <row r="174" spans="17:17" x14ac:dyDescent="0.4">
      <c r="Q174" s="254"/>
    </row>
    <row r="175" spans="17:17" x14ac:dyDescent="0.4">
      <c r="Q175" s="254"/>
    </row>
    <row r="176" spans="17:17" x14ac:dyDescent="0.4">
      <c r="Q176" s="254"/>
    </row>
    <row r="177" spans="17:17" x14ac:dyDescent="0.4">
      <c r="Q177" s="254"/>
    </row>
    <row r="178" spans="17:17" x14ac:dyDescent="0.4">
      <c r="Q178" s="254"/>
    </row>
    <row r="179" spans="17:17" x14ac:dyDescent="0.4">
      <c r="Q179" s="254"/>
    </row>
    <row r="180" spans="17:17" x14ac:dyDescent="0.4">
      <c r="Q180" s="254"/>
    </row>
    <row r="181" spans="17:17" x14ac:dyDescent="0.4">
      <c r="Q181" s="254"/>
    </row>
    <row r="182" spans="17:17" x14ac:dyDescent="0.4">
      <c r="Q182" s="254"/>
    </row>
    <row r="183" spans="17:17" x14ac:dyDescent="0.4">
      <c r="Q183" s="254"/>
    </row>
    <row r="184" spans="17:17" x14ac:dyDescent="0.4">
      <c r="Q184" s="254"/>
    </row>
    <row r="185" spans="17:17" x14ac:dyDescent="0.4">
      <c r="Q185" s="254"/>
    </row>
    <row r="186" spans="17:17" x14ac:dyDescent="0.4">
      <c r="Q186" s="254"/>
    </row>
    <row r="187" spans="17:17" x14ac:dyDescent="0.4">
      <c r="Q187" s="254"/>
    </row>
    <row r="188" spans="17:17" x14ac:dyDescent="0.4">
      <c r="Q188" s="254"/>
    </row>
  </sheetData>
  <mergeCells count="15">
    <mergeCell ref="B35:L35"/>
    <mergeCell ref="K36:L36"/>
    <mergeCell ref="C9:D9"/>
    <mergeCell ref="F9:G9"/>
    <mergeCell ref="H9:I9"/>
    <mergeCell ref="J9:L9"/>
    <mergeCell ref="B34:F34"/>
    <mergeCell ref="G34:I34"/>
    <mergeCell ref="J34:K34"/>
    <mergeCell ref="J6:L6"/>
    <mergeCell ref="B7:B8"/>
    <mergeCell ref="C7:G8"/>
    <mergeCell ref="H7:I7"/>
    <mergeCell ref="H8:I8"/>
    <mergeCell ref="J8:L8"/>
  </mergeCells>
  <phoneticPr fontId="21" type="noConversion"/>
  <dataValidations count="1">
    <dataValidation type="list" allowBlank="1" showInputMessage="1" showErrorMessage="1" sqref="N11" xr:uid="{37DD197C-CDE5-491B-A13B-F527772BB51B}">
      <formula1>$Q$9:$Q$22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78409-C8FB-44FE-88C0-04EA908DF946}">
  <sheetPr codeName="Sheet8">
    <pageSetUpPr fitToPage="1"/>
  </sheetPr>
  <dimension ref="B2:Q249"/>
  <sheetViews>
    <sheetView tabSelected="1" topLeftCell="E4" zoomScaleNormal="100" workbookViewId="0">
      <selection activeCell="N20" sqref="N20"/>
    </sheetView>
  </sheetViews>
  <sheetFormatPr defaultRowHeight="17.399999999999999" x14ac:dyDescent="0.4"/>
  <cols>
    <col min="3" max="3" width="20" customWidth="1"/>
    <col min="4" max="4" width="33.19921875" customWidth="1"/>
    <col min="5" max="5" width="12.59765625" customWidth="1"/>
    <col min="6" max="6" width="21.59765625" customWidth="1"/>
    <col min="9" max="9" width="11.09765625" customWidth="1"/>
    <col min="11" max="11" width="14.3984375" customWidth="1"/>
    <col min="12" max="12" width="11.09765625" customWidth="1"/>
    <col min="14" max="14" width="22" customWidth="1"/>
    <col min="17" max="17" width="15.69921875" customWidth="1"/>
  </cols>
  <sheetData>
    <row r="2" spans="2:14" x14ac:dyDescent="0.4">
      <c r="B2" s="198"/>
      <c r="C2" s="198"/>
      <c r="D2" s="199"/>
      <c r="E2" s="199"/>
      <c r="F2" s="198"/>
      <c r="G2" s="200" t="s">
        <v>599</v>
      </c>
      <c r="H2" s="200"/>
      <c r="I2" s="200"/>
      <c r="J2" s="200"/>
      <c r="K2" s="200"/>
      <c r="L2" s="200"/>
    </row>
    <row r="3" spans="2:14" x14ac:dyDescent="0.4">
      <c r="B3" s="198"/>
      <c r="C3" s="198"/>
      <c r="D3" s="199"/>
      <c r="E3" s="199"/>
      <c r="F3" s="198"/>
      <c r="G3" s="200" t="s">
        <v>600</v>
      </c>
      <c r="H3" s="200"/>
      <c r="I3" s="200"/>
      <c r="J3" s="200"/>
      <c r="K3" s="200"/>
      <c r="L3" s="200"/>
    </row>
    <row r="4" spans="2:14" x14ac:dyDescent="0.4">
      <c r="B4" s="198"/>
      <c r="C4" s="198"/>
      <c r="D4" s="199"/>
      <c r="E4" s="199"/>
      <c r="F4" s="198"/>
      <c r="G4" s="200" t="s">
        <v>601</v>
      </c>
      <c r="H4" s="200"/>
      <c r="I4" s="200"/>
      <c r="J4" s="200"/>
      <c r="K4" s="200"/>
      <c r="L4" s="200"/>
    </row>
    <row r="5" spans="2:14" x14ac:dyDescent="0.4">
      <c r="B5" s="198"/>
      <c r="C5" s="198"/>
      <c r="D5" s="199"/>
      <c r="E5" s="199"/>
      <c r="F5" s="198"/>
      <c r="G5" s="201" t="s">
        <v>602</v>
      </c>
      <c r="H5" s="201"/>
      <c r="I5" s="201"/>
      <c r="J5" s="201"/>
      <c r="K5" s="201"/>
      <c r="L5" s="201"/>
    </row>
    <row r="6" spans="2:14" ht="18" thickBot="1" x14ac:dyDescent="0.45">
      <c r="B6" s="202" t="s">
        <v>603</v>
      </c>
      <c r="C6" s="203" t="s">
        <v>604</v>
      </c>
      <c r="D6" s="204"/>
      <c r="E6" s="204"/>
      <c r="F6" s="198"/>
      <c r="G6" s="205" t="s">
        <v>605</v>
      </c>
      <c r="H6" s="206" t="s">
        <v>605</v>
      </c>
      <c r="I6" s="208"/>
      <c r="J6" s="280" t="s">
        <v>606</v>
      </c>
      <c r="K6" s="281"/>
      <c r="L6" s="281"/>
    </row>
    <row r="7" spans="2:14" x14ac:dyDescent="0.4">
      <c r="B7" s="282" t="s">
        <v>607</v>
      </c>
      <c r="C7" s="284" t="s">
        <v>608</v>
      </c>
      <c r="D7" s="284"/>
      <c r="E7" s="284"/>
      <c r="F7" s="284"/>
      <c r="G7" s="284"/>
      <c r="H7" s="286" t="s">
        <v>609</v>
      </c>
      <c r="I7" s="287"/>
      <c r="J7" s="209">
        <f ca="1">TODAY()</f>
        <v>43691</v>
      </c>
      <c r="K7" s="210"/>
      <c r="L7" s="211"/>
    </row>
    <row r="8" spans="2:14" x14ac:dyDescent="0.4">
      <c r="B8" s="283"/>
      <c r="C8" s="285"/>
      <c r="D8" s="285"/>
      <c r="E8" s="285"/>
      <c r="F8" s="285"/>
      <c r="G8" s="285"/>
      <c r="H8" s="288" t="s">
        <v>610</v>
      </c>
      <c r="I8" s="289"/>
      <c r="J8" s="290" t="s">
        <v>611</v>
      </c>
      <c r="K8" s="291"/>
      <c r="L8" s="292"/>
    </row>
    <row r="9" spans="2:14" ht="18" thickBot="1" x14ac:dyDescent="0.45">
      <c r="B9" s="212" t="s">
        <v>612</v>
      </c>
      <c r="C9" s="297"/>
      <c r="D9" s="297"/>
      <c r="E9" s="213" t="s">
        <v>613</v>
      </c>
      <c r="F9" s="297"/>
      <c r="G9" s="297"/>
      <c r="H9" s="298" t="s">
        <v>614</v>
      </c>
      <c r="I9" s="299"/>
      <c r="J9" s="300" t="s">
        <v>615</v>
      </c>
      <c r="K9" s="300"/>
      <c r="L9" s="301"/>
    </row>
    <row r="10" spans="2:14" x14ac:dyDescent="0.4">
      <c r="B10" s="214" t="s">
        <v>616</v>
      </c>
      <c r="C10" s="215" t="s">
        <v>3</v>
      </c>
      <c r="D10" s="215" t="s">
        <v>617</v>
      </c>
      <c r="E10" s="215" t="s">
        <v>618</v>
      </c>
      <c r="F10" s="215" t="s">
        <v>619</v>
      </c>
      <c r="G10" s="216" t="s">
        <v>620</v>
      </c>
      <c r="H10" s="217" t="s">
        <v>621</v>
      </c>
      <c r="I10" s="218" t="s">
        <v>622</v>
      </c>
      <c r="J10" s="218" t="s">
        <v>623</v>
      </c>
      <c r="K10" s="219" t="s">
        <v>624</v>
      </c>
      <c r="L10" s="220" t="s">
        <v>625</v>
      </c>
    </row>
    <row r="11" spans="2:14" x14ac:dyDescent="0.4">
      <c r="B11" s="221"/>
      <c r="C11" s="255" t="str">
        <f>IFERROR(INDEX('Total-T7.2019'!B$95:B$274,1/LARGE(INDEX(('Total-T7.2019'!AQ$95:AQ$274=N$11)*('Total-T7.2019'!AP$95:AP$274&lt;0)/ROW('Total-T7.2019'!AQ$95:AQ$274),),ROW(A1))-94),"")</f>
        <v>MASTER CARTON EX14</v>
      </c>
      <c r="D11" s="222" t="str">
        <f t="shared" ref="D11:D42" si="0">D161</f>
        <v>MASTER CARTON, 24SETS (BZ/EE)</v>
      </c>
      <c r="E11" s="223" t="str">
        <f>IFERROR(INDEX('Total-T7.2019'!C$95:C$274,1/LARGE(INDEX(('Total-T7.2019'!AQ$95:AQ$274=N$11)*('Total-T7.2019'!AP$95:AP$274&lt;0)/ROW('Total-T7.2019'!AQ$95:AQ$274),),ROW(A1))-94),"")</f>
        <v>5-005-473-01</v>
      </c>
      <c r="F11" s="222"/>
      <c r="G11" s="224">
        <f>IFERROR(INDEX('Total-T7.2019'!AP$95:AP$274,1/LARGE(INDEX(('Total-T7.2019'!AQ$95:AQ$274=N$11)*('Total-T7.2019'!AP$95:AP$274&lt;0)/ROW('Total-T7.2019'!AQ$95:AQ$274),),ROW(A1))-94),"")</f>
        <v>-4.1666666666666664E-2</v>
      </c>
      <c r="H11" s="225" t="str">
        <f>IFERROR(INDEX('Total-T7.2019'!AK$95:AK$274,1/LARGE(INDEX(('Total-T7.2019'!AQ$95:AQ$274=N$11)*('Total-T7.2019'!AP$95:AP$274&lt;0)/ROW('Total-T7.2019'!AQ$95:AQ$274),),ROW(A1))-94),"")</f>
        <v>PCS</v>
      </c>
      <c r="I11" s="226"/>
      <c r="J11" s="227">
        <f>IFERROR(G11*I11,"")</f>
        <v>0</v>
      </c>
      <c r="K11" s="228"/>
      <c r="L11" s="229"/>
      <c r="N11" t="s">
        <v>562</v>
      </c>
    </row>
    <row r="12" spans="2:14" x14ac:dyDescent="0.4">
      <c r="B12" s="221"/>
      <c r="C12" s="255" t="str">
        <f>IFERROR(INDEX('Total-T7.2019'!B$95:B$274,1/LARGE(INDEX(('Total-T7.2019'!AQ$95:AQ$274=N$11)*('Total-T7.2019'!AP$95:AP$274&lt;0)/ROW('Total-T7.2019'!AQ$95:AQ$274),),ROW(A2))-94),"")</f>
        <v>MASTER CARTON EX15</v>
      </c>
      <c r="D12" s="222" t="str">
        <f t="shared" si="0"/>
        <v>MASTER CARTON, 24SETS (VZ1/AE)</v>
      </c>
      <c r="E12" s="223" t="str">
        <f>IFERROR(INDEX('Total-T7.2019'!C$95:C$274,1/LARGE(INDEX(('Total-T7.2019'!AQ$95:AQ$274=N$11)*('Total-T7.2019'!AP$95:AP$274&lt;0)/ROW('Total-T7.2019'!AQ$95:AQ$274),),ROW(A2))-94),"")</f>
        <v>5-006-115-41</v>
      </c>
      <c r="F12" s="222"/>
      <c r="G12" s="224">
        <f>IFERROR(INDEX('Total-T7.2019'!AP$95:AP$274,1/LARGE(INDEX(('Total-T7.2019'!AQ$95:AQ$274=N$11)*('Total-T7.2019'!AP$95:AP$274&lt;0)/ROW('Total-T7.2019'!AQ$95:AQ$274),),ROW(A2))-94),"")</f>
        <v>-4.1666666666666664E-2</v>
      </c>
      <c r="H12" s="225" t="str">
        <f>IFERROR(INDEX('Total-T7.2019'!AK$95:AK$274,1/LARGE(INDEX(('Total-T7.2019'!AQ$95:AQ$274=N$11)*('Total-T7.2019'!AP$95:AP$274&lt;0)/ROW('Total-T7.2019'!AQ$95:AQ$274),),ROW(A2))-94),"")</f>
        <v>PCS</v>
      </c>
      <c r="I12" s="226"/>
      <c r="J12" s="227">
        <f t="shared" ref="J12:J75" si="1">IFERROR(G12*I12,"")</f>
        <v>0</v>
      </c>
      <c r="K12" s="228"/>
      <c r="L12" s="229"/>
    </row>
    <row r="13" spans="2:14" x14ac:dyDescent="0.4">
      <c r="B13" s="221"/>
      <c r="C13" s="255" t="str">
        <f>IFERROR(INDEX('Total-T7.2019'!B$95:B$274,1/LARGE(INDEX(('Total-T7.2019'!AQ$95:AQ$274=N$11)*('Total-T7.2019'!AP$95:AP$274&lt;0)/ROW('Total-T7.2019'!AQ$95:AQ$274),),ROW(A3))-94),"")</f>
        <v>MASTER CARTON E9</v>
      </c>
      <c r="D13" s="222" t="str">
        <f t="shared" si="0"/>
        <v>MASTER CARTON, 50SETS (BZ1/E)</v>
      </c>
      <c r="E13" s="223" t="str">
        <f>IFERROR(INDEX('Total-T7.2019'!C$95:C$274,1/LARGE(INDEX(('Total-T7.2019'!AQ$95:AQ$274=N$11)*('Total-T7.2019'!AP$95:AP$274&lt;0)/ROW('Total-T7.2019'!AQ$95:AQ$274),),ROW(A3))-94),"")</f>
        <v>5-006-132-01</v>
      </c>
      <c r="F13" s="222"/>
      <c r="G13" s="224">
        <f>IFERROR(INDEX('Total-T7.2019'!AP$95:AP$274,1/LARGE(INDEX(('Total-T7.2019'!AQ$95:AQ$274=N$11)*('Total-T7.2019'!AP$95:AP$274&lt;0)/ROW('Total-T7.2019'!AQ$95:AQ$274),),ROW(A3))-94),"")</f>
        <v>-0.02</v>
      </c>
      <c r="H13" s="225" t="str">
        <f>IFERROR(INDEX('Total-T7.2019'!AK$95:AK$274,1/LARGE(INDEX(('Total-T7.2019'!AQ$95:AQ$274=N$11)*('Total-T7.2019'!AP$95:AP$274&lt;0)/ROW('Total-T7.2019'!AQ$95:AQ$274),),ROW(A3))-94),"")</f>
        <v>PCS</v>
      </c>
      <c r="I13" s="226"/>
      <c r="J13" s="227">
        <f t="shared" si="1"/>
        <v>0</v>
      </c>
      <c r="K13" s="228"/>
      <c r="L13" s="229"/>
    </row>
    <row r="14" spans="2:14" x14ac:dyDescent="0.4">
      <c r="B14" s="221"/>
      <c r="C14" s="255" t="str">
        <f>IFERROR(INDEX('Total-T7.2019'!B$95:B$274,1/LARGE(INDEX(('Total-T7.2019'!AQ$95:AQ$274=N$11)*('Total-T7.2019'!AP$95:AP$274&lt;0)/ROW('Total-T7.2019'!AQ$95:AQ$274),),ROW(A4))-94),"")</f>
        <v>MASTER CARTON E9</v>
      </c>
      <c r="D14" s="222" t="str">
        <f t="shared" si="0"/>
        <v>MASTER CARTON, 50SETS (WIZ1/E)</v>
      </c>
      <c r="E14" s="223" t="str">
        <f>IFERROR(INDEX('Total-T7.2019'!C$95:C$274,1/LARGE(INDEX(('Total-T7.2019'!AQ$95:AQ$274=N$11)*('Total-T7.2019'!AP$95:AP$274&lt;0)/ROW('Total-T7.2019'!AQ$95:AQ$274),),ROW(A4))-94),"")</f>
        <v>5-006-132-11</v>
      </c>
      <c r="F14" s="222"/>
      <c r="G14" s="224">
        <f>IFERROR(INDEX('Total-T7.2019'!AP$95:AP$274,1/LARGE(INDEX(('Total-T7.2019'!AQ$95:AQ$274=N$11)*('Total-T7.2019'!AP$95:AP$274&lt;0)/ROW('Total-T7.2019'!AQ$95:AQ$274),),ROW(A4))-94),"")</f>
        <v>-0.02</v>
      </c>
      <c r="H14" s="225" t="str">
        <f>IFERROR(INDEX('Total-T7.2019'!AK$95:AK$274,1/LARGE(INDEX(('Total-T7.2019'!AQ$95:AQ$274=N$11)*('Total-T7.2019'!AP$95:AP$274&lt;0)/ROW('Total-T7.2019'!AQ$95:AQ$274),),ROW(A4))-94),"")</f>
        <v>PCS</v>
      </c>
      <c r="I14" s="226"/>
      <c r="J14" s="227">
        <f t="shared" si="1"/>
        <v>0</v>
      </c>
      <c r="K14" s="228"/>
      <c r="L14" s="229"/>
    </row>
    <row r="15" spans="2:14" x14ac:dyDescent="0.4">
      <c r="B15" s="221"/>
      <c r="C15" s="255" t="str">
        <f>IFERROR(INDEX('Total-T7.2019'!B$95:B$274,1/LARGE(INDEX(('Total-T7.2019'!AQ$95:AQ$274=N$11)*('Total-T7.2019'!AP$95:AP$274&lt;0)/ROW('Total-T7.2019'!AQ$95:AQ$274),),ROW(A5))-94),"")</f>
        <v>MASTER CARTON E9</v>
      </c>
      <c r="D15" s="222" t="str">
        <f t="shared" si="0"/>
        <v>MASTER CARTON, 50SETS (HZ1/E)</v>
      </c>
      <c r="E15" s="223" t="str">
        <f>IFERROR(INDEX('Total-T7.2019'!C$95:C$274,1/LARGE(INDEX(('Total-T7.2019'!AQ$95:AQ$274=N$11)*('Total-T7.2019'!AP$95:AP$274&lt;0)/ROW('Total-T7.2019'!AQ$95:AQ$274),),ROW(A5))-94),"")</f>
        <v>5-006-132-21</v>
      </c>
      <c r="F15" s="222"/>
      <c r="G15" s="224">
        <f>IFERROR(INDEX('Total-T7.2019'!AP$95:AP$274,1/LARGE(INDEX(('Total-T7.2019'!AQ$95:AQ$274=N$11)*('Total-T7.2019'!AP$95:AP$274&lt;0)/ROW('Total-T7.2019'!AQ$95:AQ$274),),ROW(A5))-94),"")</f>
        <v>-0.02</v>
      </c>
      <c r="H15" s="225" t="str">
        <f>IFERROR(INDEX('Total-T7.2019'!AK$95:AK$274,1/LARGE(INDEX(('Total-T7.2019'!AQ$95:AQ$274=N$11)*('Total-T7.2019'!AP$95:AP$274&lt;0)/ROW('Total-T7.2019'!AQ$95:AQ$274),),ROW(A5))-94),"")</f>
        <v>PCS</v>
      </c>
      <c r="I15" s="226"/>
      <c r="J15" s="227">
        <f t="shared" si="1"/>
        <v>0</v>
      </c>
      <c r="K15" s="228"/>
      <c r="L15" s="229"/>
    </row>
    <row r="16" spans="2:14" x14ac:dyDescent="0.4">
      <c r="B16" s="221"/>
      <c r="C16" s="255" t="str">
        <f>IFERROR(INDEX('Total-T7.2019'!B$95:B$274,1/LARGE(INDEX(('Total-T7.2019'!AQ$95:AQ$274=N$11)*('Total-T7.2019'!AP$95:AP$274&lt;0)/ROW('Total-T7.2019'!AQ$95:AQ$274),),ROW(A6))-94),"")</f>
        <v>MASTER CARTON E9</v>
      </c>
      <c r="D16" s="222" t="str">
        <f t="shared" si="0"/>
        <v>MASTER CARTON, 50SETS (PZ1/E)</v>
      </c>
      <c r="E16" s="223" t="str">
        <f>IFERROR(INDEX('Total-T7.2019'!C$95:C$274,1/LARGE(INDEX(('Total-T7.2019'!AQ$95:AQ$274=N$11)*('Total-T7.2019'!AP$95:AP$274&lt;0)/ROW('Total-T7.2019'!AQ$95:AQ$274),),ROW(A6))-94),"")</f>
        <v>5-006-132-31</v>
      </c>
      <c r="F16" s="222"/>
      <c r="G16" s="224">
        <f>IFERROR(INDEX('Total-T7.2019'!AP$95:AP$274,1/LARGE(INDEX(('Total-T7.2019'!AQ$95:AQ$274=N$11)*('Total-T7.2019'!AP$95:AP$274&lt;0)/ROW('Total-T7.2019'!AQ$95:AQ$274),),ROW(A6))-94),"")</f>
        <v>-0.02</v>
      </c>
      <c r="H16" s="225" t="str">
        <f>IFERROR(INDEX('Total-T7.2019'!AK$95:AK$274,1/LARGE(INDEX(('Total-T7.2019'!AQ$95:AQ$274=N$11)*('Total-T7.2019'!AP$95:AP$274&lt;0)/ROW('Total-T7.2019'!AQ$95:AQ$274),),ROW(A6))-94),"")</f>
        <v>PCS</v>
      </c>
      <c r="I16" s="226"/>
      <c r="J16" s="227">
        <f t="shared" si="1"/>
        <v>0</v>
      </c>
      <c r="K16" s="228"/>
      <c r="L16" s="229"/>
    </row>
    <row r="17" spans="2:17" x14ac:dyDescent="0.4">
      <c r="B17" s="221"/>
      <c r="C17" s="255" t="str">
        <f>IFERROR(INDEX('Total-T7.2019'!B$95:B$274,1/LARGE(INDEX(('Total-T7.2019'!AQ$95:AQ$274=N$11)*('Total-T7.2019'!AP$95:AP$274&lt;0)/ROW('Total-T7.2019'!AQ$95:AQ$274),),ROW(A7))-94),"")</f>
        <v>MASTER CARTON E9</v>
      </c>
      <c r="D17" s="222" t="str">
        <f t="shared" si="0"/>
        <v>MASTER CARTON, 50SETS (LZ1/E)</v>
      </c>
      <c r="E17" s="223" t="str">
        <f>IFERROR(INDEX('Total-T7.2019'!C$95:C$274,1/LARGE(INDEX(('Total-T7.2019'!AQ$95:AQ$274=N$11)*('Total-T7.2019'!AP$95:AP$274&lt;0)/ROW('Total-T7.2019'!AQ$95:AQ$274),),ROW(A7))-94),"")</f>
        <v>5-006-132-41</v>
      </c>
      <c r="F17" s="222"/>
      <c r="G17" s="224">
        <f>IFERROR(INDEX('Total-T7.2019'!AP$95:AP$274,1/LARGE(INDEX(('Total-T7.2019'!AQ$95:AQ$274=N$11)*('Total-T7.2019'!AP$95:AP$274&lt;0)/ROW('Total-T7.2019'!AQ$95:AQ$274),),ROW(A7))-94),"")</f>
        <v>-0.02</v>
      </c>
      <c r="H17" s="225" t="str">
        <f>IFERROR(INDEX('Total-T7.2019'!AK$95:AK$274,1/LARGE(INDEX(('Total-T7.2019'!AQ$95:AQ$274=N$11)*('Total-T7.2019'!AP$95:AP$274&lt;0)/ROW('Total-T7.2019'!AQ$95:AQ$274),),ROW(A7))-94),"")</f>
        <v>PCS</v>
      </c>
      <c r="I17" s="226"/>
      <c r="J17" s="227">
        <f t="shared" si="1"/>
        <v>0</v>
      </c>
      <c r="K17" s="228"/>
      <c r="L17" s="229"/>
    </row>
    <row r="18" spans="2:17" x14ac:dyDescent="0.4">
      <c r="B18" s="221"/>
      <c r="C18" s="255" t="str">
        <f>IFERROR(INDEX('Total-T7.2019'!B$95:B$274,1/LARGE(INDEX(('Total-T7.2019'!AQ$95:AQ$274=N$11)*('Total-T7.2019'!AP$95:AP$274&lt;0)/ROW('Total-T7.2019'!AQ$95:AQ$274),),ROW(A8))-94),"")</f>
        <v>MASTER CARTON E9</v>
      </c>
      <c r="D18" s="222" t="str">
        <f t="shared" si="0"/>
        <v>MASTER CARTON, 24SETS (BZ1/U)</v>
      </c>
      <c r="E18" s="223" t="str">
        <f>IFERROR(INDEX('Total-T7.2019'!C$95:C$274,1/LARGE(INDEX(('Total-T7.2019'!AQ$95:AQ$274=N$11)*('Total-T7.2019'!AP$95:AP$274&lt;0)/ROW('Total-T7.2019'!AQ$95:AQ$274),),ROW(A8))-94),"")</f>
        <v>5-006-133-01</v>
      </c>
      <c r="F18" s="222"/>
      <c r="G18" s="224">
        <f>IFERROR(INDEX('Total-T7.2019'!AP$95:AP$274,1/LARGE(INDEX(('Total-T7.2019'!AQ$95:AQ$274=N$11)*('Total-T7.2019'!AP$95:AP$274&lt;0)/ROW('Total-T7.2019'!AQ$95:AQ$274),),ROW(A8))-94),"")</f>
        <v>-4.1666666666666664E-2</v>
      </c>
      <c r="H18" s="225" t="str">
        <f>IFERROR(INDEX('Total-T7.2019'!AK$95:AK$274,1/LARGE(INDEX(('Total-T7.2019'!AQ$95:AQ$274=N$11)*('Total-T7.2019'!AP$95:AP$274&lt;0)/ROW('Total-T7.2019'!AQ$95:AQ$274),),ROW(A8))-94),"")</f>
        <v>PCS</v>
      </c>
      <c r="I18" s="226"/>
      <c r="J18" s="227">
        <f t="shared" si="1"/>
        <v>0</v>
      </c>
      <c r="K18" s="228"/>
      <c r="L18" s="229"/>
    </row>
    <row r="19" spans="2:17" x14ac:dyDescent="0.4">
      <c r="B19" s="221"/>
      <c r="C19" s="255" t="str">
        <f>IFERROR(INDEX('Total-T7.2019'!B$95:B$274,1/LARGE(INDEX(('Total-T7.2019'!AQ$95:AQ$274=N$11)*('Total-T7.2019'!AP$95:AP$274&lt;0)/ROW('Total-T7.2019'!AQ$95:AQ$274),),ROW(A9))-94),"")</f>
        <v>MASTER CARTON E9</v>
      </c>
      <c r="D19" s="222" t="str">
        <f t="shared" si="0"/>
        <v>MASTER CARTON, 24SETS (WIZ1/U)</v>
      </c>
      <c r="E19" s="223" t="str">
        <f>IFERROR(INDEX('Total-T7.2019'!C$95:C$274,1/LARGE(INDEX(('Total-T7.2019'!AQ$95:AQ$274=N$11)*('Total-T7.2019'!AP$95:AP$274&lt;0)/ROW('Total-T7.2019'!AQ$95:AQ$274),),ROW(A9))-94),"")</f>
        <v>5-006-133-11</v>
      </c>
      <c r="F19" s="222"/>
      <c r="G19" s="224">
        <f>IFERROR(INDEX('Total-T7.2019'!AP$95:AP$274,1/LARGE(INDEX(('Total-T7.2019'!AQ$95:AQ$274=N$11)*('Total-T7.2019'!AP$95:AP$274&lt;0)/ROW('Total-T7.2019'!AQ$95:AQ$274),),ROW(A9))-94),"")</f>
        <v>-4.1666666666666664E-2</v>
      </c>
      <c r="H19" s="225" t="str">
        <f>IFERROR(INDEX('Total-T7.2019'!AK$95:AK$274,1/LARGE(INDEX(('Total-T7.2019'!AQ$95:AQ$274=N$11)*('Total-T7.2019'!AP$95:AP$274&lt;0)/ROW('Total-T7.2019'!AQ$95:AQ$274),),ROW(A9))-94),"")</f>
        <v>PCS</v>
      </c>
      <c r="I19" s="226"/>
      <c r="J19" s="227">
        <f t="shared" si="1"/>
        <v>0</v>
      </c>
      <c r="K19" s="228"/>
      <c r="L19" s="229"/>
    </row>
    <row r="20" spans="2:17" x14ac:dyDescent="0.4">
      <c r="B20" s="221"/>
      <c r="C20" s="255" t="str">
        <f>IFERROR(INDEX('Total-T7.2019'!B$95:B$274,1/LARGE(INDEX(('Total-T7.2019'!AQ$95:AQ$274=N$11)*('Total-T7.2019'!AP$95:AP$274&lt;0)/ROW('Total-T7.2019'!AQ$95:AQ$274),),ROW(A10))-94),"")</f>
        <v>MASTER CARTON E9</v>
      </c>
      <c r="D20" s="222" t="str">
        <f t="shared" si="0"/>
        <v>MASTER CARTON, 24SETS (HZ1/U)</v>
      </c>
      <c r="E20" s="223" t="str">
        <f>IFERROR(INDEX('Total-T7.2019'!C$95:C$274,1/LARGE(INDEX(('Total-T7.2019'!AQ$95:AQ$274=N$11)*('Total-T7.2019'!AP$95:AP$274&lt;0)/ROW('Total-T7.2019'!AQ$95:AQ$274),),ROW(A10))-94),"")</f>
        <v>5-006-133-21</v>
      </c>
      <c r="F20" s="222"/>
      <c r="G20" s="224">
        <f>IFERROR(INDEX('Total-T7.2019'!AP$95:AP$274,1/LARGE(INDEX(('Total-T7.2019'!AQ$95:AQ$274=N$11)*('Total-T7.2019'!AP$95:AP$274&lt;0)/ROW('Total-T7.2019'!AQ$95:AQ$274),),ROW(A10))-94),"")</f>
        <v>-4.1666666666666664E-2</v>
      </c>
      <c r="H20" s="225" t="str">
        <f>IFERROR(INDEX('Total-T7.2019'!AK$95:AK$274,1/LARGE(INDEX(('Total-T7.2019'!AQ$95:AQ$274=N$11)*('Total-T7.2019'!AP$95:AP$274&lt;0)/ROW('Total-T7.2019'!AQ$95:AQ$274),),ROW(A10))-94),"")</f>
        <v>PCS</v>
      </c>
      <c r="I20" s="226"/>
      <c r="J20" s="227">
        <f t="shared" si="1"/>
        <v>0</v>
      </c>
      <c r="K20" s="228"/>
      <c r="L20" s="229"/>
    </row>
    <row r="21" spans="2:17" x14ac:dyDescent="0.4">
      <c r="B21" s="221"/>
      <c r="C21" s="255" t="str">
        <f>IFERROR(INDEX('Total-T7.2019'!B$95:B$274,1/LARGE(INDEX(('Total-T7.2019'!AQ$95:AQ$274=N$11)*('Total-T7.2019'!AP$95:AP$274&lt;0)/ROW('Total-T7.2019'!AQ$95:AQ$274),),ROW(A11))-94),"")</f>
        <v>MASTER CARTON E9</v>
      </c>
      <c r="D21" s="222" t="str">
        <f t="shared" si="0"/>
        <v>MASTER CARTON, 24SETS (PZ1/U)</v>
      </c>
      <c r="E21" s="223" t="str">
        <f>IFERROR(INDEX('Total-T7.2019'!C$95:C$274,1/LARGE(INDEX(('Total-T7.2019'!AQ$95:AQ$274=N$11)*('Total-T7.2019'!AP$95:AP$274&lt;0)/ROW('Total-T7.2019'!AQ$95:AQ$274),),ROW(A11))-94),"")</f>
        <v>5-006-133-31</v>
      </c>
      <c r="F21" s="222"/>
      <c r="G21" s="224">
        <f>IFERROR(INDEX('Total-T7.2019'!AP$95:AP$274,1/LARGE(INDEX(('Total-T7.2019'!AQ$95:AQ$274=N$11)*('Total-T7.2019'!AP$95:AP$274&lt;0)/ROW('Total-T7.2019'!AQ$95:AQ$274),),ROW(A11))-94),"")</f>
        <v>-4.1666666666666664E-2</v>
      </c>
      <c r="H21" s="225" t="str">
        <f>IFERROR(INDEX('Total-T7.2019'!AK$95:AK$274,1/LARGE(INDEX(('Total-T7.2019'!AQ$95:AQ$274=N$11)*('Total-T7.2019'!AP$95:AP$274&lt;0)/ROW('Total-T7.2019'!AQ$95:AQ$274),),ROW(A11))-94),"")</f>
        <v>PCS</v>
      </c>
      <c r="I21" s="226"/>
      <c r="J21" s="227">
        <f t="shared" si="1"/>
        <v>0</v>
      </c>
      <c r="K21" s="228"/>
      <c r="L21" s="229"/>
    </row>
    <row r="22" spans="2:17" x14ac:dyDescent="0.4">
      <c r="B22" s="221"/>
      <c r="C22" s="255" t="str">
        <f>IFERROR(INDEX('Total-T7.2019'!B$95:B$274,1/LARGE(INDEX(('Total-T7.2019'!AQ$95:AQ$274=N$11)*('Total-T7.2019'!AP$95:AP$274&lt;0)/ROW('Total-T7.2019'!AQ$95:AQ$274),),ROW(A12))-94),"")</f>
        <v>MASTER CARTON E9</v>
      </c>
      <c r="D22" s="222" t="str">
        <f t="shared" si="0"/>
        <v>MASTER CARTON, 24SETS (LZ1/U)</v>
      </c>
      <c r="E22" s="223" t="str">
        <f>IFERROR(INDEX('Total-T7.2019'!C$95:C$274,1/LARGE(INDEX(('Total-T7.2019'!AQ$95:AQ$274=N$11)*('Total-T7.2019'!AP$95:AP$274&lt;0)/ROW('Total-T7.2019'!AQ$95:AQ$274),),ROW(A12))-94),"")</f>
        <v>5-006-133-41</v>
      </c>
      <c r="F22" s="222"/>
      <c r="G22" s="224">
        <f>IFERROR(INDEX('Total-T7.2019'!AP$95:AP$274,1/LARGE(INDEX(('Total-T7.2019'!AQ$95:AQ$274=N$11)*('Total-T7.2019'!AP$95:AP$274&lt;0)/ROW('Total-T7.2019'!AQ$95:AQ$274),),ROW(A12))-94),"")</f>
        <v>-4.1666666666666664E-2</v>
      </c>
      <c r="H22" s="225" t="str">
        <f>IFERROR(INDEX('Total-T7.2019'!AK$95:AK$274,1/LARGE(INDEX(('Total-T7.2019'!AQ$95:AQ$274=N$11)*('Total-T7.2019'!AP$95:AP$274&lt;0)/ROW('Total-T7.2019'!AQ$95:AQ$274),),ROW(A12))-94),"")</f>
        <v>PCS</v>
      </c>
      <c r="I22" s="226"/>
      <c r="J22" s="227">
        <f t="shared" si="1"/>
        <v>0</v>
      </c>
      <c r="K22" s="230"/>
      <c r="L22" s="231"/>
    </row>
    <row r="23" spans="2:17" x14ac:dyDescent="0.4">
      <c r="B23" s="221"/>
      <c r="C23" s="255" t="str">
        <f>IFERROR(INDEX('Total-T7.2019'!B$95:B$274,1/LARGE(INDEX(('Total-T7.2019'!AQ$95:AQ$274=N$11)*('Total-T7.2019'!AP$95:AP$274&lt;0)/ROW('Total-T7.2019'!AQ$95:AQ$274),),ROW(A13))-94),"")</f>
        <v>MASTER CARTON E9</v>
      </c>
      <c r="D23" s="222" t="str">
        <f t="shared" si="0"/>
        <v>MASTER CARTON, 24SETS (BZ1/AE/CA)</v>
      </c>
      <c r="E23" s="223" t="str">
        <f>IFERROR(INDEX('Total-T7.2019'!C$95:C$274,1/LARGE(INDEX(('Total-T7.2019'!AQ$95:AQ$274=N$11)*('Total-T7.2019'!AP$95:AP$274&lt;0)/ROW('Total-T7.2019'!AQ$95:AQ$274),),ROW(A13))-94),"")</f>
        <v>5-006-134-01</v>
      </c>
      <c r="F23" s="222"/>
      <c r="G23" s="224">
        <f>IFERROR(INDEX('Total-T7.2019'!AP$95:AP$274,1/LARGE(INDEX(('Total-T7.2019'!AQ$95:AQ$274=N$11)*('Total-T7.2019'!AP$95:AP$274&lt;0)/ROW('Total-T7.2019'!AQ$95:AQ$274),),ROW(A13))-94),"")</f>
        <v>-8.3333333333333329E-2</v>
      </c>
      <c r="H23" s="225" t="str">
        <f>IFERROR(INDEX('Total-T7.2019'!AK$95:AK$274,1/LARGE(INDEX(('Total-T7.2019'!AQ$95:AQ$274=N$11)*('Total-T7.2019'!AP$95:AP$274&lt;0)/ROW('Total-T7.2019'!AQ$95:AQ$274),),ROW(A13))-94),"")</f>
        <v>PCS</v>
      </c>
      <c r="I23" s="226"/>
      <c r="J23" s="227">
        <f t="shared" si="1"/>
        <v>0</v>
      </c>
      <c r="K23" s="232"/>
      <c r="L23" s="233"/>
      <c r="Q23" s="254"/>
    </row>
    <row r="24" spans="2:17" x14ac:dyDescent="0.4">
      <c r="B24" s="221"/>
      <c r="C24" s="255" t="str">
        <f>IFERROR(INDEX('Total-T7.2019'!B$95:B$274,1/LARGE(INDEX(('Total-T7.2019'!AQ$95:AQ$274=N$11)*('Total-T7.2019'!AP$95:AP$274&lt;0)/ROW('Total-T7.2019'!AQ$95:AQ$274),),ROW(A14))-94),"")</f>
        <v>MASTER CARTON E9</v>
      </c>
      <c r="D24" s="222" t="str">
        <f t="shared" si="0"/>
        <v>MASTER CARTON, 24SETS (HZ1/AE/CA)</v>
      </c>
      <c r="E24" s="223" t="str">
        <f>IFERROR(INDEX('Total-T7.2019'!C$95:C$274,1/LARGE(INDEX(('Total-T7.2019'!AQ$95:AQ$274=N$11)*('Total-T7.2019'!AP$95:AP$274&lt;0)/ROW('Total-T7.2019'!AQ$95:AQ$274),),ROW(A14))-94),"")</f>
        <v>5-006-134-11</v>
      </c>
      <c r="F24" s="222"/>
      <c r="G24" s="224">
        <f>IFERROR(INDEX('Total-T7.2019'!AP$95:AP$274,1/LARGE(INDEX(('Total-T7.2019'!AQ$95:AQ$274=N$11)*('Total-T7.2019'!AP$95:AP$274&lt;0)/ROW('Total-T7.2019'!AQ$95:AQ$274),),ROW(A14))-94),"")</f>
        <v>-8.3333333333333329E-2</v>
      </c>
      <c r="H24" s="225" t="str">
        <f>IFERROR(INDEX('Total-T7.2019'!AK$95:AK$274,1/LARGE(INDEX(('Total-T7.2019'!AQ$95:AQ$274=N$11)*('Total-T7.2019'!AP$95:AP$274&lt;0)/ROW('Total-T7.2019'!AQ$95:AQ$274),),ROW(A14))-94),"")</f>
        <v>PCS</v>
      </c>
      <c r="I24" s="226"/>
      <c r="J24" s="227">
        <f t="shared" si="1"/>
        <v>0</v>
      </c>
      <c r="K24" s="232"/>
      <c r="L24" s="233"/>
      <c r="Q24" s="254"/>
    </row>
    <row r="25" spans="2:17" x14ac:dyDescent="0.4">
      <c r="B25" s="221"/>
      <c r="C25" s="255" t="str">
        <f>IFERROR(INDEX('Total-T7.2019'!B$95:B$274,1/LARGE(INDEX(('Total-T7.2019'!AQ$95:AQ$274=N$11)*('Total-T7.2019'!AP$95:AP$274&lt;0)/ROW('Total-T7.2019'!AQ$95:AQ$274),),ROW(A15))-94),"")</f>
        <v>MASTER CARTON E9</v>
      </c>
      <c r="D25" s="222" t="str">
        <f t="shared" si="0"/>
        <v>MASTER CARTON, 24SETS (PZ1/AE/CA)</v>
      </c>
      <c r="E25" s="223" t="str">
        <f>IFERROR(INDEX('Total-T7.2019'!C$95:C$274,1/LARGE(INDEX(('Total-T7.2019'!AQ$95:AQ$274=N$11)*('Total-T7.2019'!AP$95:AP$274&lt;0)/ROW('Total-T7.2019'!AQ$95:AQ$274),),ROW(A15))-94),"")</f>
        <v>5-006-134-21</v>
      </c>
      <c r="F25" s="222"/>
      <c r="G25" s="224">
        <f>IFERROR(INDEX('Total-T7.2019'!AP$95:AP$274,1/LARGE(INDEX(('Total-T7.2019'!AQ$95:AQ$274=N$11)*('Total-T7.2019'!AP$95:AP$274&lt;0)/ROW('Total-T7.2019'!AQ$95:AQ$274),),ROW(A15))-94),"")</f>
        <v>-8.3333333333333329E-2</v>
      </c>
      <c r="H25" s="225" t="str">
        <f>IFERROR(INDEX('Total-T7.2019'!AK$95:AK$274,1/LARGE(INDEX(('Total-T7.2019'!AQ$95:AQ$274=N$11)*('Total-T7.2019'!AP$95:AP$274&lt;0)/ROW('Total-T7.2019'!AQ$95:AQ$274),),ROW(A15))-94),"")</f>
        <v>PCS</v>
      </c>
      <c r="I25" s="226"/>
      <c r="J25" s="227">
        <f t="shared" si="1"/>
        <v>0</v>
      </c>
      <c r="K25" s="232"/>
      <c r="L25" s="233"/>
      <c r="Q25" s="254"/>
    </row>
    <row r="26" spans="2:17" x14ac:dyDescent="0.4">
      <c r="B26" s="221"/>
      <c r="C26" s="255" t="str">
        <f>IFERROR(INDEX('Total-T7.2019'!B$95:B$274,1/LARGE(INDEX(('Total-T7.2019'!AQ$95:AQ$274=N$11)*('Total-T7.2019'!AP$95:AP$274&lt;0)/ROW('Total-T7.2019'!AQ$95:AQ$274),),ROW(A16))-94),"")</f>
        <v>MASTER CARTON E9</v>
      </c>
      <c r="D26" s="222" t="str">
        <f t="shared" si="0"/>
        <v>MASTER CARTON, 24SETS (LZ1/AE/CA)</v>
      </c>
      <c r="E26" s="223" t="str">
        <f>IFERROR(INDEX('Total-T7.2019'!C$95:C$274,1/LARGE(INDEX(('Total-T7.2019'!AQ$95:AQ$274=N$11)*('Total-T7.2019'!AP$95:AP$274&lt;0)/ROW('Total-T7.2019'!AQ$95:AQ$274),),ROW(A16))-94),"")</f>
        <v>5-006-134-31</v>
      </c>
      <c r="F26" s="222"/>
      <c r="G26" s="224">
        <f>IFERROR(INDEX('Total-T7.2019'!AP$95:AP$274,1/LARGE(INDEX(('Total-T7.2019'!AQ$95:AQ$274=N$11)*('Total-T7.2019'!AP$95:AP$274&lt;0)/ROW('Total-T7.2019'!AQ$95:AQ$274),),ROW(A16))-94),"")</f>
        <v>-8.3333333333333329E-2</v>
      </c>
      <c r="H26" s="225" t="str">
        <f>IFERROR(INDEX('Total-T7.2019'!AK$95:AK$274,1/LARGE(INDEX(('Total-T7.2019'!AQ$95:AQ$274=N$11)*('Total-T7.2019'!AP$95:AP$274&lt;0)/ROW('Total-T7.2019'!AQ$95:AQ$274),),ROW(A16))-94),"")</f>
        <v>PCS</v>
      </c>
      <c r="I26" s="226"/>
      <c r="J26" s="227">
        <f t="shared" si="1"/>
        <v>0</v>
      </c>
      <c r="K26" s="232"/>
      <c r="L26" s="233"/>
      <c r="Q26" s="254"/>
    </row>
    <row r="27" spans="2:17" x14ac:dyDescent="0.4">
      <c r="B27" s="221"/>
      <c r="C27" s="255" t="str">
        <f>IFERROR(INDEX('Total-T7.2019'!B$95:B$274,1/LARGE(INDEX(('Total-T7.2019'!AQ$95:AQ$274=N$11)*('Total-T7.2019'!AP$95:AP$274&lt;0)/ROW('Total-T7.2019'!AQ$95:AQ$274),),ROW(A17))-94),"")</f>
        <v>SUS CARTON 6SET EX14</v>
      </c>
      <c r="D27" s="222" t="str">
        <f t="shared" si="0"/>
        <v>MASTER CARTON, 6SETS SUB (BZ/EE)</v>
      </c>
      <c r="E27" s="223" t="str">
        <f>IFERROR(INDEX('Total-T7.2019'!C$95:C$274,1/LARGE(INDEX(('Total-T7.2019'!AQ$95:AQ$274=N$11)*('Total-T7.2019'!AP$95:AP$274&lt;0)/ROW('Total-T7.2019'!AQ$95:AQ$274),),ROW(A17))-94),"")</f>
        <v>5-005-472-01</v>
      </c>
      <c r="F27" s="222"/>
      <c r="G27" s="224">
        <f>IFERROR(INDEX('Total-T7.2019'!AP$95:AP$274,1/LARGE(INDEX(('Total-T7.2019'!AQ$95:AQ$274=N$11)*('Total-T7.2019'!AP$95:AP$274&lt;0)/ROW('Total-T7.2019'!AQ$95:AQ$274),),ROW(A17))-94),"")</f>
        <v>-0.16666666666666666</v>
      </c>
      <c r="H27" s="225" t="str">
        <f>IFERROR(INDEX('Total-T7.2019'!AK$95:AK$274,1/LARGE(INDEX(('Total-T7.2019'!AQ$95:AQ$274=N$11)*('Total-T7.2019'!AP$95:AP$274&lt;0)/ROW('Total-T7.2019'!AQ$95:AQ$274),),ROW(A17))-94),"")</f>
        <v>PCS</v>
      </c>
      <c r="I27" s="226"/>
      <c r="J27" s="227">
        <f t="shared" si="1"/>
        <v>0</v>
      </c>
      <c r="K27" s="232"/>
      <c r="L27" s="233"/>
      <c r="Q27" s="254"/>
    </row>
    <row r="28" spans="2:17" x14ac:dyDescent="0.4">
      <c r="B28" s="221"/>
      <c r="C28" s="255" t="str">
        <f>IFERROR(INDEX('Total-T7.2019'!B$95:B$274,1/LARGE(INDEX(('Total-T7.2019'!AQ$95:AQ$274=N$11)*('Total-T7.2019'!AP$95:AP$274&lt;0)/ROW('Total-T7.2019'!AQ$95:AQ$274),),ROW(A18))-94),"")</f>
        <v>SUS CARTON 6SET EX15</v>
      </c>
      <c r="D28" s="222" t="str">
        <f t="shared" si="0"/>
        <v>MASTER CARTON, 6SETS SUB (VZ1/AE)</v>
      </c>
      <c r="E28" s="223" t="str">
        <f>IFERROR(INDEX('Total-T7.2019'!C$95:C$274,1/LARGE(INDEX(('Total-T7.2019'!AQ$95:AQ$274=N$11)*('Total-T7.2019'!AP$95:AP$274&lt;0)/ROW('Total-T7.2019'!AQ$95:AQ$274),),ROW(A18))-94),"")</f>
        <v>5-006-114-41</v>
      </c>
      <c r="F28" s="222"/>
      <c r="G28" s="224">
        <f>IFERROR(INDEX('Total-T7.2019'!AP$95:AP$274,1/LARGE(INDEX(('Total-T7.2019'!AQ$95:AQ$274=N$11)*('Total-T7.2019'!AP$95:AP$274&lt;0)/ROW('Total-T7.2019'!AQ$95:AQ$274),),ROW(A18))-94),"")</f>
        <v>-0.16666666666666666</v>
      </c>
      <c r="H28" s="225" t="str">
        <f>IFERROR(INDEX('Total-T7.2019'!AK$95:AK$274,1/LARGE(INDEX(('Total-T7.2019'!AQ$95:AQ$274=N$11)*('Total-T7.2019'!AP$95:AP$274&lt;0)/ROW('Total-T7.2019'!AQ$95:AQ$274),),ROW(A18))-94),"")</f>
        <v>PCS</v>
      </c>
      <c r="I28" s="226"/>
      <c r="J28" s="227">
        <f t="shared" si="1"/>
        <v>0</v>
      </c>
      <c r="K28" s="232"/>
      <c r="L28" s="233"/>
      <c r="Q28" s="254"/>
    </row>
    <row r="29" spans="2:17" x14ac:dyDescent="0.4">
      <c r="B29" s="221"/>
      <c r="C29" s="255" t="str">
        <f>IFERROR(INDEX('Total-T7.2019'!B$95:B$274,1/LARGE(INDEX(('Total-T7.2019'!AQ$95:AQ$274=N$11)*('Total-T7.2019'!AP$95:AP$274&lt;0)/ROW('Total-T7.2019'!AQ$95:AQ$274),),ROW(A19))-94),"")</f>
        <v>SUS CARTON 6SET E9</v>
      </c>
      <c r="D29" s="222" t="str">
        <f t="shared" si="0"/>
        <v>MASTER CARTON, 6SETS SUB (BZ1/U)</v>
      </c>
      <c r="E29" s="223" t="str">
        <f>IFERROR(INDEX('Total-T7.2019'!C$95:C$274,1/LARGE(INDEX(('Total-T7.2019'!AQ$95:AQ$274=N$11)*('Total-T7.2019'!AP$95:AP$274&lt;0)/ROW('Total-T7.2019'!AQ$95:AQ$274),),ROW(A19))-94),"")</f>
        <v>5-006-130-01</v>
      </c>
      <c r="F29" s="234"/>
      <c r="G29" s="224">
        <f>IFERROR(INDEX('Total-T7.2019'!AP$95:AP$274,1/LARGE(INDEX(('Total-T7.2019'!AQ$95:AQ$274=N$11)*('Total-T7.2019'!AP$95:AP$274&lt;0)/ROW('Total-T7.2019'!AQ$95:AQ$274),),ROW(A19))-94),"")</f>
        <v>-0.16666666666666666</v>
      </c>
      <c r="H29" s="225" t="str">
        <f>IFERROR(INDEX('Total-T7.2019'!AK$95:AK$274,1/LARGE(INDEX(('Total-T7.2019'!AQ$95:AQ$274=N$11)*('Total-T7.2019'!AP$95:AP$274&lt;0)/ROW('Total-T7.2019'!AQ$95:AQ$274),),ROW(A19))-94),"")</f>
        <v>PCS</v>
      </c>
      <c r="I29" s="226"/>
      <c r="J29" s="227">
        <f t="shared" si="1"/>
        <v>0</v>
      </c>
      <c r="K29" s="232"/>
      <c r="L29" s="233"/>
      <c r="Q29" s="254"/>
    </row>
    <row r="30" spans="2:17" x14ac:dyDescent="0.4">
      <c r="B30" s="221"/>
      <c r="C30" s="255" t="str">
        <f>IFERROR(INDEX('Total-T7.2019'!B$95:B$274,1/LARGE(INDEX(('Total-T7.2019'!AQ$95:AQ$274=N$11)*('Total-T7.2019'!AP$95:AP$274&lt;0)/ROW('Total-T7.2019'!AQ$95:AQ$274),),ROW(A20))-94),"")</f>
        <v>SUS CARTON 6SET E9</v>
      </c>
      <c r="D30" s="222" t="str">
        <f t="shared" si="0"/>
        <v>MASTER CARTON, 6SETS SUB (WIZ1/U)</v>
      </c>
      <c r="E30" s="223" t="str">
        <f>IFERROR(INDEX('Total-T7.2019'!C$95:C$274,1/LARGE(INDEX(('Total-T7.2019'!AQ$95:AQ$274=N$11)*('Total-T7.2019'!AP$95:AP$274&lt;0)/ROW('Total-T7.2019'!AQ$95:AQ$274),),ROW(A20))-94),"")</f>
        <v>5-006-130-11</v>
      </c>
      <c r="F30" s="234"/>
      <c r="G30" s="224">
        <f>IFERROR(INDEX('Total-T7.2019'!AP$95:AP$274,1/LARGE(INDEX(('Total-T7.2019'!AQ$95:AQ$274=N$11)*('Total-T7.2019'!AP$95:AP$274&lt;0)/ROW('Total-T7.2019'!AQ$95:AQ$274),),ROW(A20))-94),"")</f>
        <v>-0.16666666666666666</v>
      </c>
      <c r="H30" s="225" t="str">
        <f>IFERROR(INDEX('Total-T7.2019'!AK$95:AK$274,1/LARGE(INDEX(('Total-T7.2019'!AQ$95:AQ$274=N$11)*('Total-T7.2019'!AP$95:AP$274&lt;0)/ROW('Total-T7.2019'!AQ$95:AQ$274),),ROW(A20))-94),"")</f>
        <v>PCS</v>
      </c>
      <c r="I30" s="226"/>
      <c r="J30" s="227">
        <f t="shared" si="1"/>
        <v>0</v>
      </c>
      <c r="K30" s="232"/>
      <c r="L30" s="233"/>
      <c r="Q30" s="254"/>
    </row>
    <row r="31" spans="2:17" x14ac:dyDescent="0.4">
      <c r="B31" s="221"/>
      <c r="C31" s="255" t="str">
        <f>IFERROR(INDEX('Total-T7.2019'!B$95:B$274,1/LARGE(INDEX(('Total-T7.2019'!AQ$95:AQ$274=N$11)*('Total-T7.2019'!AP$95:AP$274&lt;0)/ROW('Total-T7.2019'!AQ$95:AQ$274),),ROW(A21))-94),"")</f>
        <v>SUS CARTON 6SET E9</v>
      </c>
      <c r="D31" s="222" t="str">
        <f t="shared" si="0"/>
        <v>MASTER CARTON, 6SETS SUB (HZ1/U)</v>
      </c>
      <c r="E31" s="223" t="str">
        <f>IFERROR(INDEX('Total-T7.2019'!C$95:C$274,1/LARGE(INDEX(('Total-T7.2019'!AQ$95:AQ$274=N$11)*('Total-T7.2019'!AP$95:AP$274&lt;0)/ROW('Total-T7.2019'!AQ$95:AQ$274),),ROW(A21))-94),"")</f>
        <v>5-006-130-21</v>
      </c>
      <c r="F31" s="222"/>
      <c r="G31" s="224">
        <f>IFERROR(INDEX('Total-T7.2019'!AP$95:AP$274,1/LARGE(INDEX(('Total-T7.2019'!AQ$95:AQ$274=N$11)*('Total-T7.2019'!AP$95:AP$274&lt;0)/ROW('Total-T7.2019'!AQ$95:AQ$274),),ROW(A21))-94),"")</f>
        <v>-0.16666666666666666</v>
      </c>
      <c r="H31" s="225" t="str">
        <f>IFERROR(INDEX('Total-T7.2019'!AK$95:AK$274,1/LARGE(INDEX(('Total-T7.2019'!AQ$95:AQ$274=N$11)*('Total-T7.2019'!AP$95:AP$274&lt;0)/ROW('Total-T7.2019'!AQ$95:AQ$274),),ROW(A21))-94),"")</f>
        <v>PCS</v>
      </c>
      <c r="I31" s="226"/>
      <c r="J31" s="227">
        <f t="shared" si="1"/>
        <v>0</v>
      </c>
      <c r="K31" s="232"/>
      <c r="L31" s="233"/>
      <c r="Q31" s="254"/>
    </row>
    <row r="32" spans="2:17" x14ac:dyDescent="0.4">
      <c r="B32" s="221"/>
      <c r="C32" s="255" t="str">
        <f>IFERROR(INDEX('Total-T7.2019'!B$95:B$274,1/LARGE(INDEX(('Total-T7.2019'!AQ$95:AQ$274=N$11)*('Total-T7.2019'!AP$95:AP$274&lt;0)/ROW('Total-T7.2019'!AQ$95:AQ$274),),ROW(A22))-94),"")</f>
        <v>SUS CARTON 6SET E9</v>
      </c>
      <c r="D32" s="222" t="str">
        <f t="shared" si="0"/>
        <v>MASTER CARTON, 6SETS SUB (PZ1/U)</v>
      </c>
      <c r="E32" s="223" t="str">
        <f>IFERROR(INDEX('Total-T7.2019'!C$95:C$274,1/LARGE(INDEX(('Total-T7.2019'!AQ$95:AQ$274=N$11)*('Total-T7.2019'!AP$95:AP$274&lt;0)/ROW('Total-T7.2019'!AQ$95:AQ$274),),ROW(A22))-94),"")</f>
        <v>5-006-130-31</v>
      </c>
      <c r="F32" s="235"/>
      <c r="G32" s="224">
        <f>IFERROR(INDEX('Total-T7.2019'!AP$95:AP$274,1/LARGE(INDEX(('Total-T7.2019'!AQ$95:AQ$274=N$11)*('Total-T7.2019'!AP$95:AP$274&lt;0)/ROW('Total-T7.2019'!AQ$95:AQ$274),),ROW(A22))-94),"")</f>
        <v>-0.16666666666666666</v>
      </c>
      <c r="H32" s="225" t="str">
        <f>IFERROR(INDEX('Total-T7.2019'!AK$95:AK$274,1/LARGE(INDEX(('Total-T7.2019'!AQ$95:AQ$274=N$11)*('Total-T7.2019'!AP$95:AP$274&lt;0)/ROW('Total-T7.2019'!AQ$95:AQ$274),),ROW(A22))-94),"")</f>
        <v>PCS</v>
      </c>
      <c r="I32" s="226"/>
      <c r="J32" s="227">
        <f t="shared" si="1"/>
        <v>0</v>
      </c>
      <c r="K32" s="232"/>
      <c r="L32" s="233"/>
      <c r="Q32" s="254"/>
    </row>
    <row r="33" spans="2:17" x14ac:dyDescent="0.4">
      <c r="B33" s="221"/>
      <c r="C33" s="255" t="str">
        <f>IFERROR(INDEX('Total-T7.2019'!B$95:B$274,1/LARGE(INDEX(('Total-T7.2019'!AQ$95:AQ$274=N$11)*('Total-T7.2019'!AP$95:AP$274&lt;0)/ROW('Total-T7.2019'!AQ$95:AQ$274),),ROW(A23))-94),"")</f>
        <v>SUS CARTON 6SET E9</v>
      </c>
      <c r="D33" s="222" t="str">
        <f t="shared" si="0"/>
        <v>MASTER CARTON, 6SETS SUB (LZ1/U)</v>
      </c>
      <c r="E33" s="223" t="str">
        <f>IFERROR(INDEX('Total-T7.2019'!C$95:C$274,1/LARGE(INDEX(('Total-T7.2019'!AQ$95:AQ$274=N$11)*('Total-T7.2019'!AP$95:AP$274&lt;0)/ROW('Total-T7.2019'!AQ$95:AQ$274),),ROW(A23))-94),"")</f>
        <v>5-006-130-41</v>
      </c>
      <c r="F33" s="235"/>
      <c r="G33" s="224">
        <f>IFERROR(INDEX('Total-T7.2019'!AP$95:AP$274,1/LARGE(INDEX(('Total-T7.2019'!AQ$95:AQ$274=N$11)*('Total-T7.2019'!AP$95:AP$274&lt;0)/ROW('Total-T7.2019'!AQ$95:AQ$274),),ROW(A23))-94),"")</f>
        <v>-0.16666666666666666</v>
      </c>
      <c r="H33" s="225" t="str">
        <f>IFERROR(INDEX('Total-T7.2019'!AK$95:AK$274,1/LARGE(INDEX(('Total-T7.2019'!AQ$95:AQ$274=N$11)*('Total-T7.2019'!AP$95:AP$274&lt;0)/ROW('Total-T7.2019'!AQ$95:AQ$274),),ROW(A23))-94),"")</f>
        <v>PCS</v>
      </c>
      <c r="I33" s="226"/>
      <c r="J33" s="227">
        <f t="shared" si="1"/>
        <v>0</v>
      </c>
      <c r="K33" s="232"/>
      <c r="L33" s="233"/>
      <c r="Q33" s="254"/>
    </row>
    <row r="34" spans="2:17" x14ac:dyDescent="0.4">
      <c r="B34" s="221"/>
      <c r="C34" s="255" t="str">
        <f>IFERROR(INDEX('Total-T7.2019'!B$95:B$274,1/LARGE(INDEX(('Total-T7.2019'!AQ$95:AQ$274=N$11)*('Total-T7.2019'!AP$95:AP$274&lt;0)/ROW('Total-T7.2019'!AQ$95:AQ$274),),ROW(A24))-94),"")</f>
        <v>SUS CARTON 6SET E9</v>
      </c>
      <c r="D34" s="222" t="str">
        <f t="shared" si="0"/>
        <v>MASTER CARTON, 6SETS SUB (BZ1/CA / AE)</v>
      </c>
      <c r="E34" s="223" t="str">
        <f>IFERROR(INDEX('Total-T7.2019'!C$95:C$274,1/LARGE(INDEX(('Total-T7.2019'!AQ$95:AQ$274=N$11)*('Total-T7.2019'!AP$95:AP$274&lt;0)/ROW('Total-T7.2019'!AQ$95:AQ$274),),ROW(A24))-94),"")</f>
        <v>5-006-131-01</v>
      </c>
      <c r="F34" s="235"/>
      <c r="G34" s="224">
        <f>IFERROR(INDEX('Total-T7.2019'!AP$95:AP$274,1/LARGE(INDEX(('Total-T7.2019'!AQ$95:AQ$274=N$11)*('Total-T7.2019'!AP$95:AP$274&lt;0)/ROW('Total-T7.2019'!AQ$95:AQ$274),),ROW(A24))-94),"")</f>
        <v>-0.33333333333333331</v>
      </c>
      <c r="H34" s="225" t="str">
        <f>IFERROR(INDEX('Total-T7.2019'!AK$95:AK$274,1/LARGE(INDEX(('Total-T7.2019'!AQ$95:AQ$274=N$11)*('Total-T7.2019'!AP$95:AP$274&lt;0)/ROW('Total-T7.2019'!AQ$95:AQ$274),),ROW(A24))-94),"")</f>
        <v>PCS</v>
      </c>
      <c r="I34" s="226"/>
      <c r="J34" s="227">
        <f t="shared" si="1"/>
        <v>0</v>
      </c>
      <c r="K34" s="232"/>
      <c r="L34" s="233"/>
      <c r="Q34" s="254"/>
    </row>
    <row r="35" spans="2:17" x14ac:dyDescent="0.4">
      <c r="B35" s="221"/>
      <c r="C35" s="255" t="str">
        <f>IFERROR(INDEX('Total-T7.2019'!B$95:B$274,1/LARGE(INDEX(('Total-T7.2019'!AQ$95:AQ$274=N$11)*('Total-T7.2019'!AP$95:AP$274&lt;0)/ROW('Total-T7.2019'!AQ$95:AQ$274),),ROW(A25))-94),"")</f>
        <v>SUS CARTON 6SET E9</v>
      </c>
      <c r="D35" s="222" t="str">
        <f t="shared" si="0"/>
        <v>MASTER CARTON, 6SETS SUB (HZ1/CA / AE)</v>
      </c>
      <c r="E35" s="223" t="str">
        <f>IFERROR(INDEX('Total-T7.2019'!C$95:C$274,1/LARGE(INDEX(('Total-T7.2019'!AQ$95:AQ$274=N$11)*('Total-T7.2019'!AP$95:AP$274&lt;0)/ROW('Total-T7.2019'!AQ$95:AQ$274),),ROW(A25))-94),"")</f>
        <v>5-006-131-11</v>
      </c>
      <c r="F35" s="235"/>
      <c r="G35" s="224">
        <f>IFERROR(INDEX('Total-T7.2019'!AP$95:AP$274,1/LARGE(INDEX(('Total-T7.2019'!AQ$95:AQ$274=N$11)*('Total-T7.2019'!AP$95:AP$274&lt;0)/ROW('Total-T7.2019'!AQ$95:AQ$274),),ROW(A25))-94),"")</f>
        <v>-0.33333333333333331</v>
      </c>
      <c r="H35" s="225" t="str">
        <f>IFERROR(INDEX('Total-T7.2019'!AK$95:AK$274,1/LARGE(INDEX(('Total-T7.2019'!AQ$95:AQ$274=N$11)*('Total-T7.2019'!AP$95:AP$274&lt;0)/ROW('Total-T7.2019'!AQ$95:AQ$274),),ROW(A25))-94),"")</f>
        <v>PCS</v>
      </c>
      <c r="I35" s="226"/>
      <c r="J35" s="227">
        <f t="shared" si="1"/>
        <v>0</v>
      </c>
      <c r="K35" s="232"/>
      <c r="L35" s="233"/>
      <c r="Q35" s="254"/>
    </row>
    <row r="36" spans="2:17" x14ac:dyDescent="0.4">
      <c r="B36" s="221"/>
      <c r="C36" s="255" t="str">
        <f>IFERROR(INDEX('Total-T7.2019'!B$95:B$274,1/LARGE(INDEX(('Total-T7.2019'!AQ$95:AQ$274=N$11)*('Total-T7.2019'!AP$95:AP$274&lt;0)/ROW('Total-T7.2019'!AQ$95:AQ$274),),ROW(A26))-94),"")</f>
        <v>SUS CARTON 6SET E9</v>
      </c>
      <c r="D36" s="222" t="str">
        <f t="shared" si="0"/>
        <v>MASTER CARTON, 6SETS SUB (PZ1/CA / AE)</v>
      </c>
      <c r="E36" s="223" t="str">
        <f>IFERROR(INDEX('Total-T7.2019'!C$95:C$274,1/LARGE(INDEX(('Total-T7.2019'!AQ$95:AQ$274=N$11)*('Total-T7.2019'!AP$95:AP$274&lt;0)/ROW('Total-T7.2019'!AQ$95:AQ$274),),ROW(A26))-94),"")</f>
        <v>5-006-131-21</v>
      </c>
      <c r="F36" s="235"/>
      <c r="G36" s="224">
        <f>IFERROR(INDEX('Total-T7.2019'!AP$95:AP$274,1/LARGE(INDEX(('Total-T7.2019'!AQ$95:AQ$274=N$11)*('Total-T7.2019'!AP$95:AP$274&lt;0)/ROW('Total-T7.2019'!AQ$95:AQ$274),),ROW(A26))-94),"")</f>
        <v>-0.33333333333333331</v>
      </c>
      <c r="H36" s="225" t="str">
        <f>IFERROR(INDEX('Total-T7.2019'!AK$95:AK$274,1/LARGE(INDEX(('Total-T7.2019'!AQ$95:AQ$274=N$11)*('Total-T7.2019'!AP$95:AP$274&lt;0)/ROW('Total-T7.2019'!AQ$95:AQ$274),),ROW(A26))-94),"")</f>
        <v>PCS</v>
      </c>
      <c r="I36" s="226"/>
      <c r="J36" s="227">
        <f t="shared" si="1"/>
        <v>0</v>
      </c>
      <c r="K36" s="232"/>
      <c r="L36" s="233"/>
      <c r="Q36" s="254"/>
    </row>
    <row r="37" spans="2:17" x14ac:dyDescent="0.4">
      <c r="B37" s="221"/>
      <c r="C37" s="255" t="str">
        <f>IFERROR(INDEX('Total-T7.2019'!B$95:B$274,1/LARGE(INDEX(('Total-T7.2019'!AQ$95:AQ$274=N$11)*('Total-T7.2019'!AP$95:AP$274&lt;0)/ROW('Total-T7.2019'!AQ$95:AQ$274),),ROW(A27))-94),"")</f>
        <v>SUS CARTON 6SET E9</v>
      </c>
      <c r="D37" s="222" t="str">
        <f t="shared" si="0"/>
        <v>MASTER CARTON, 6SETS SUB (LZ1/CA / AE)</v>
      </c>
      <c r="E37" s="223" t="str">
        <f>IFERROR(INDEX('Total-T7.2019'!C$95:C$274,1/LARGE(INDEX(('Total-T7.2019'!AQ$95:AQ$274=N$11)*('Total-T7.2019'!AP$95:AP$274&lt;0)/ROW('Total-T7.2019'!AQ$95:AQ$274),),ROW(A27))-94),"")</f>
        <v>5-006-131-31</v>
      </c>
      <c r="F37" s="235"/>
      <c r="G37" s="224">
        <f>IFERROR(INDEX('Total-T7.2019'!AP$95:AP$274,1/LARGE(INDEX(('Total-T7.2019'!AQ$95:AQ$274=N$11)*('Total-T7.2019'!AP$95:AP$274&lt;0)/ROW('Total-T7.2019'!AQ$95:AQ$274),),ROW(A27))-94),"")</f>
        <v>-0.33333333333333331</v>
      </c>
      <c r="H37" s="225" t="str">
        <f>IFERROR(INDEX('Total-T7.2019'!AK$95:AK$274,1/LARGE(INDEX(('Total-T7.2019'!AQ$95:AQ$274=N$11)*('Total-T7.2019'!AP$95:AP$274&lt;0)/ROW('Total-T7.2019'!AQ$95:AQ$274),),ROW(A27))-94),"")</f>
        <v>PCS</v>
      </c>
      <c r="I37" s="226"/>
      <c r="J37" s="227">
        <f t="shared" si="1"/>
        <v>0</v>
      </c>
      <c r="K37" s="232"/>
      <c r="L37" s="233"/>
      <c r="Q37" s="254"/>
    </row>
    <row r="38" spans="2:17" hidden="1" x14ac:dyDescent="0.4">
      <c r="B38" s="221"/>
      <c r="C38" s="255" t="str">
        <f>IFERROR(INDEX('Total-T7.2019'!B$95:B$274,1/LARGE(INDEX(('Total-T7.2019'!AQ$95:AQ$274=N$11)*('Total-T7.2019'!AP$95:AP$274&lt;0)/ROW('Total-T7.2019'!AQ$95:AQ$274),),ROW(A28))-94),"")</f>
        <v/>
      </c>
      <c r="D38" s="222" t="str">
        <f t="shared" si="0"/>
        <v/>
      </c>
      <c r="E38" s="223" t="str">
        <f>IFERROR(INDEX('Total-T7.2019'!C$95:C$274,1/LARGE(INDEX(('Total-T7.2019'!AQ$95:AQ$274=N$11)*('Total-T7.2019'!AP$95:AP$274&lt;0)/ROW('Total-T7.2019'!AQ$95:AQ$274),),ROW(A28))-94),"")</f>
        <v/>
      </c>
      <c r="F38" s="235"/>
      <c r="G38" s="224" t="str">
        <f>IFERROR(INDEX('Total-T7.2019'!AP$95:AP$274,1/LARGE(INDEX(('Total-T7.2019'!AQ$95:AQ$274=N$11)*('Total-T7.2019'!AP$95:AP$274&lt;0)/ROW('Total-T7.2019'!AQ$95:AQ$274),),ROW(A28))-94),"")</f>
        <v/>
      </c>
      <c r="H38" s="225" t="str">
        <f>IFERROR(INDEX('Total-T7.2019'!AK$95:AK$274,1/LARGE(INDEX(('Total-T7.2019'!AQ$95:AQ$274=N$11)*('Total-T7.2019'!AP$95:AP$274&lt;0)/ROW('Total-T7.2019'!AQ$95:AQ$274),),ROW(A28))-94),"")</f>
        <v/>
      </c>
      <c r="I38" s="226"/>
      <c r="J38" s="227" t="str">
        <f t="shared" si="1"/>
        <v/>
      </c>
      <c r="K38" s="232"/>
      <c r="L38" s="233"/>
      <c r="Q38" s="254"/>
    </row>
    <row r="39" spans="2:17" hidden="1" x14ac:dyDescent="0.4">
      <c r="B39" s="221"/>
      <c r="C39" s="255" t="str">
        <f>IFERROR(INDEX('Total-T7.2019'!B$95:B$274,1/LARGE(INDEX(('Total-T7.2019'!AQ$95:AQ$274=N$11)*('Total-T7.2019'!AP$95:AP$274&lt;0)/ROW('Total-T7.2019'!AQ$95:AQ$274),),ROW(A29))-94),"")</f>
        <v/>
      </c>
      <c r="D39" s="222" t="str">
        <f t="shared" si="0"/>
        <v/>
      </c>
      <c r="E39" s="223" t="str">
        <f>IFERROR(INDEX('Total-T7.2019'!C$95:C$274,1/LARGE(INDEX(('Total-T7.2019'!AQ$95:AQ$274=N$11)*('Total-T7.2019'!AP$95:AP$274&lt;0)/ROW('Total-T7.2019'!AQ$95:AQ$274),),ROW(A29))-94),"")</f>
        <v/>
      </c>
      <c r="F39" s="235"/>
      <c r="G39" s="224" t="str">
        <f>IFERROR(INDEX('Total-T7.2019'!AP$95:AP$274,1/LARGE(INDEX(('Total-T7.2019'!AQ$95:AQ$274=N$11)*('Total-T7.2019'!AP$95:AP$274&lt;0)/ROW('Total-T7.2019'!AQ$95:AQ$274),),ROW(A29))-94),"")</f>
        <v/>
      </c>
      <c r="H39" s="225" t="str">
        <f>IFERROR(INDEX('Total-T7.2019'!AK$95:AK$274,1/LARGE(INDEX(('Total-T7.2019'!AQ$95:AQ$274=N$11)*('Total-T7.2019'!AP$95:AP$274&lt;0)/ROW('Total-T7.2019'!AQ$95:AQ$274),),ROW(A29))-94),"")</f>
        <v/>
      </c>
      <c r="I39" s="226"/>
      <c r="J39" s="227" t="str">
        <f t="shared" si="1"/>
        <v/>
      </c>
      <c r="K39" s="232"/>
      <c r="L39" s="233"/>
      <c r="Q39" s="254"/>
    </row>
    <row r="40" spans="2:17" hidden="1" x14ac:dyDescent="0.4">
      <c r="B40" s="221"/>
      <c r="C40" s="255" t="str">
        <f>IFERROR(INDEX('Total-T7.2019'!B$95:B$274,1/LARGE(INDEX(('Total-T7.2019'!AQ$95:AQ$274=N$11)*('Total-T7.2019'!AP$95:AP$274&lt;0)/ROW('Total-T7.2019'!AQ$95:AQ$274),),ROW(A30))-94),"")</f>
        <v/>
      </c>
      <c r="D40" s="222" t="str">
        <f t="shared" si="0"/>
        <v/>
      </c>
      <c r="E40" s="223" t="str">
        <f>IFERROR(INDEX('Total-T7.2019'!C$95:C$274,1/LARGE(INDEX(('Total-T7.2019'!AQ$95:AQ$274=N$11)*('Total-T7.2019'!AP$95:AP$274&lt;0)/ROW('Total-T7.2019'!AQ$95:AQ$274),),ROW(A30))-94),"")</f>
        <v/>
      </c>
      <c r="F40" s="235"/>
      <c r="G40" s="224" t="str">
        <f>IFERROR(INDEX('Total-T7.2019'!AP$95:AP$274,1/LARGE(INDEX(('Total-T7.2019'!AQ$95:AQ$274=N$11)*('Total-T7.2019'!AP$95:AP$274&lt;0)/ROW('Total-T7.2019'!AQ$95:AQ$274),),ROW(A30))-94),"")</f>
        <v/>
      </c>
      <c r="H40" s="225" t="str">
        <f>IFERROR(INDEX('Total-T7.2019'!AK$95:AK$274,1/LARGE(INDEX(('Total-T7.2019'!AQ$95:AQ$274=N$11)*('Total-T7.2019'!AP$95:AP$274&lt;0)/ROW('Total-T7.2019'!AQ$95:AQ$274),),ROW(A30))-94),"")</f>
        <v/>
      </c>
      <c r="I40" s="226"/>
      <c r="J40" s="227" t="str">
        <f t="shared" si="1"/>
        <v/>
      </c>
      <c r="K40" s="232"/>
      <c r="L40" s="233"/>
      <c r="Q40" s="254"/>
    </row>
    <row r="41" spans="2:17" hidden="1" x14ac:dyDescent="0.4">
      <c r="B41" s="221"/>
      <c r="C41" s="255" t="str">
        <f>IFERROR(INDEX('Total-T7.2019'!B$95:B$274,1/LARGE(INDEX(('Total-T7.2019'!AQ$95:AQ$274=N$11)*('Total-T7.2019'!AP$95:AP$274&lt;0)/ROW('Total-T7.2019'!AQ$95:AQ$274),),ROW(A31))-94),"")</f>
        <v/>
      </c>
      <c r="D41" s="222" t="str">
        <f t="shared" si="0"/>
        <v/>
      </c>
      <c r="E41" s="223" t="str">
        <f>IFERROR(INDEX('Total-T7.2019'!C$95:C$274,1/LARGE(INDEX(('Total-T7.2019'!AQ$95:AQ$274=N$11)*('Total-T7.2019'!AP$95:AP$274&lt;0)/ROW('Total-T7.2019'!AQ$95:AQ$274),),ROW(A31))-94),"")</f>
        <v/>
      </c>
      <c r="F41" s="235"/>
      <c r="G41" s="224" t="str">
        <f>IFERROR(INDEX('Total-T7.2019'!AP$95:AP$274,1/LARGE(INDEX(('Total-T7.2019'!AQ$95:AQ$274=N$11)*('Total-T7.2019'!AP$95:AP$274&lt;0)/ROW('Total-T7.2019'!AQ$95:AQ$274),),ROW(A31))-94),"")</f>
        <v/>
      </c>
      <c r="H41" s="225" t="str">
        <f>IFERROR(INDEX('Total-T7.2019'!AK$95:AK$274,1/LARGE(INDEX(('Total-T7.2019'!AQ$95:AQ$274=N$11)*('Total-T7.2019'!AP$95:AP$274&lt;0)/ROW('Total-T7.2019'!AQ$95:AQ$274),),ROW(A31))-94),"")</f>
        <v/>
      </c>
      <c r="I41" s="226"/>
      <c r="J41" s="227" t="str">
        <f t="shared" si="1"/>
        <v/>
      </c>
      <c r="K41" s="232"/>
      <c r="L41" s="233"/>
      <c r="Q41" s="254"/>
    </row>
    <row r="42" spans="2:17" hidden="1" x14ac:dyDescent="0.4">
      <c r="B42" s="221"/>
      <c r="C42" s="255" t="str">
        <f>IFERROR(INDEX('Total-T7.2019'!B$95:B$274,1/LARGE(INDEX(('Total-T7.2019'!AQ$95:AQ$274=N$11)*('Total-T7.2019'!AP$95:AP$274&lt;0)/ROW('Total-T7.2019'!AQ$95:AQ$274),),ROW(A32))-94),"")</f>
        <v/>
      </c>
      <c r="D42" s="222" t="str">
        <f t="shared" si="0"/>
        <v/>
      </c>
      <c r="E42" s="223" t="str">
        <f>IFERROR(INDEX('Total-T7.2019'!C$95:C$274,1/LARGE(INDEX(('Total-T7.2019'!AQ$95:AQ$274=N$11)*('Total-T7.2019'!AP$95:AP$274&lt;0)/ROW('Total-T7.2019'!AQ$95:AQ$274),),ROW(A32))-94),"")</f>
        <v/>
      </c>
      <c r="F42" s="235"/>
      <c r="G42" s="224" t="str">
        <f>IFERROR(INDEX('Total-T7.2019'!AP$95:AP$274,1/LARGE(INDEX(('Total-T7.2019'!AQ$95:AQ$274=N$11)*('Total-T7.2019'!AP$95:AP$274&lt;0)/ROW('Total-T7.2019'!AQ$95:AQ$274),),ROW(A32))-94),"")</f>
        <v/>
      </c>
      <c r="H42" s="225" t="str">
        <f>IFERROR(INDEX('Total-T7.2019'!AK$95:AK$274,1/LARGE(INDEX(('Total-T7.2019'!AQ$95:AQ$274=N$11)*('Total-T7.2019'!AP$95:AP$274&lt;0)/ROW('Total-T7.2019'!AQ$95:AQ$274),),ROW(A32))-94),"")</f>
        <v/>
      </c>
      <c r="I42" s="226"/>
      <c r="J42" s="227" t="str">
        <f t="shared" si="1"/>
        <v/>
      </c>
      <c r="K42" s="232"/>
      <c r="L42" s="233"/>
      <c r="Q42" s="254"/>
    </row>
    <row r="43" spans="2:17" hidden="1" x14ac:dyDescent="0.4">
      <c r="B43" s="221"/>
      <c r="C43" s="255" t="str">
        <f>IFERROR(INDEX('Total-T7.2019'!B$95:B$274,1/LARGE(INDEX(('Total-T7.2019'!AQ$95:AQ$274=N$11)*('Total-T7.2019'!AP$95:AP$274&lt;0)/ROW('Total-T7.2019'!AQ$95:AQ$274),),ROW(A33))-94),"")</f>
        <v/>
      </c>
      <c r="D43" s="222" t="str">
        <f t="shared" ref="D43:D74" si="2">D193</f>
        <v/>
      </c>
      <c r="E43" s="223" t="str">
        <f>IFERROR(INDEX('Total-T7.2019'!C$95:C$274,1/LARGE(INDEX(('Total-T7.2019'!AQ$95:AQ$274=N$11)*('Total-T7.2019'!AP$95:AP$274&lt;0)/ROW('Total-T7.2019'!AQ$95:AQ$274),),ROW(A33))-94),"")</f>
        <v/>
      </c>
      <c r="F43" s="235"/>
      <c r="G43" s="224" t="str">
        <f>IFERROR(INDEX('Total-T7.2019'!AP$95:AP$274,1/LARGE(INDEX(('Total-T7.2019'!AQ$95:AQ$274=N$11)*('Total-T7.2019'!AP$95:AP$274&lt;0)/ROW('Total-T7.2019'!AQ$95:AQ$274),),ROW(A33))-94),"")</f>
        <v/>
      </c>
      <c r="H43" s="225" t="str">
        <f>IFERROR(INDEX('Total-T7.2019'!AK$95:AK$274,1/LARGE(INDEX(('Total-T7.2019'!AQ$95:AQ$274=N$11)*('Total-T7.2019'!AP$95:AP$274&lt;0)/ROW('Total-T7.2019'!AQ$95:AQ$274),),ROW(A33))-94),"")</f>
        <v/>
      </c>
      <c r="I43" s="226"/>
      <c r="J43" s="227" t="str">
        <f t="shared" si="1"/>
        <v/>
      </c>
      <c r="K43" s="232"/>
      <c r="L43" s="233"/>
      <c r="Q43" s="254"/>
    </row>
    <row r="44" spans="2:17" hidden="1" x14ac:dyDescent="0.4">
      <c r="B44" s="221"/>
      <c r="C44" s="255" t="str">
        <f>IFERROR(INDEX('Total-T7.2019'!B$95:B$274,1/LARGE(INDEX(('Total-T7.2019'!AQ$95:AQ$274=N$11)*('Total-T7.2019'!AP$95:AP$274&lt;0)/ROW('Total-T7.2019'!AQ$95:AQ$274),),ROW(A34))-94),"")</f>
        <v/>
      </c>
      <c r="D44" s="222" t="str">
        <f t="shared" si="2"/>
        <v/>
      </c>
      <c r="E44" s="223" t="str">
        <f>IFERROR(INDEX('Total-T7.2019'!C$95:C$274,1/LARGE(INDEX(('Total-T7.2019'!AQ$95:AQ$274=N$11)*('Total-T7.2019'!AP$95:AP$274&lt;0)/ROW('Total-T7.2019'!AQ$95:AQ$274),),ROW(A34))-94),"")</f>
        <v/>
      </c>
      <c r="F44" s="235"/>
      <c r="G44" s="224" t="str">
        <f>IFERROR(INDEX('Total-T7.2019'!AP$95:AP$274,1/LARGE(INDEX(('Total-T7.2019'!AQ$95:AQ$274=N$11)*('Total-T7.2019'!AP$95:AP$274&lt;0)/ROW('Total-T7.2019'!AQ$95:AQ$274),),ROW(A34))-94),"")</f>
        <v/>
      </c>
      <c r="H44" s="225" t="str">
        <f>IFERROR(INDEX('Total-T7.2019'!AK$95:AK$274,1/LARGE(INDEX(('Total-T7.2019'!AQ$95:AQ$274=N$11)*('Total-T7.2019'!AP$95:AP$274&lt;0)/ROW('Total-T7.2019'!AQ$95:AQ$274),),ROW(A34))-94),"")</f>
        <v/>
      </c>
      <c r="I44" s="226"/>
      <c r="J44" s="227" t="str">
        <f t="shared" si="1"/>
        <v/>
      </c>
      <c r="K44" s="232"/>
      <c r="L44" s="233"/>
      <c r="Q44" s="254"/>
    </row>
    <row r="45" spans="2:17" hidden="1" x14ac:dyDescent="0.4">
      <c r="B45" s="221"/>
      <c r="C45" s="255" t="str">
        <f>IFERROR(INDEX('Total-T7.2019'!B$95:B$274,1/LARGE(INDEX(('Total-T7.2019'!AQ$95:AQ$274=N$11)*('Total-T7.2019'!AP$95:AP$274&lt;0)/ROW('Total-T7.2019'!AQ$95:AQ$274),),ROW(A35))-94),"")</f>
        <v/>
      </c>
      <c r="D45" s="222" t="str">
        <f t="shared" si="2"/>
        <v/>
      </c>
      <c r="E45" s="223" t="str">
        <f>IFERROR(INDEX('Total-T7.2019'!C$95:C$274,1/LARGE(INDEX(('Total-T7.2019'!AQ$95:AQ$274=N$11)*('Total-T7.2019'!AP$95:AP$274&lt;0)/ROW('Total-T7.2019'!AQ$95:AQ$274),),ROW(A35))-94),"")</f>
        <v/>
      </c>
      <c r="F45" s="235"/>
      <c r="G45" s="224" t="str">
        <f>IFERROR(INDEX('Total-T7.2019'!AP$95:AP$274,1/LARGE(INDEX(('Total-T7.2019'!AQ$95:AQ$274=N$11)*('Total-T7.2019'!AP$95:AP$274&lt;0)/ROW('Total-T7.2019'!AQ$95:AQ$274),),ROW(A35))-94),"")</f>
        <v/>
      </c>
      <c r="H45" s="225" t="str">
        <f>IFERROR(INDEX('Total-T7.2019'!AK$95:AK$274,1/LARGE(INDEX(('Total-T7.2019'!AQ$95:AQ$274=N$11)*('Total-T7.2019'!AP$95:AP$274&lt;0)/ROW('Total-T7.2019'!AQ$95:AQ$274),),ROW(A35))-94),"")</f>
        <v/>
      </c>
      <c r="I45" s="226"/>
      <c r="J45" s="227" t="str">
        <f t="shared" si="1"/>
        <v/>
      </c>
      <c r="K45" s="232"/>
      <c r="L45" s="233"/>
      <c r="Q45" s="254"/>
    </row>
    <row r="46" spans="2:17" hidden="1" x14ac:dyDescent="0.4">
      <c r="B46" s="221"/>
      <c r="C46" s="255" t="str">
        <f>IFERROR(INDEX('Total-T7.2019'!B$95:B$274,1/LARGE(INDEX(('Total-T7.2019'!AQ$95:AQ$274=N$11)*('Total-T7.2019'!AP$95:AP$274&lt;0)/ROW('Total-T7.2019'!AQ$95:AQ$274),),ROW(A36))-94),"")</f>
        <v/>
      </c>
      <c r="D46" s="222" t="str">
        <f t="shared" si="2"/>
        <v/>
      </c>
      <c r="E46" s="223" t="str">
        <f>IFERROR(INDEX('Total-T7.2019'!C$95:C$274,1/LARGE(INDEX(('Total-T7.2019'!AQ$95:AQ$274=N$11)*('Total-T7.2019'!AP$95:AP$274&lt;0)/ROW('Total-T7.2019'!AQ$95:AQ$274),),ROW(A36))-94),"")</f>
        <v/>
      </c>
      <c r="F46" s="235"/>
      <c r="G46" s="224" t="str">
        <f>IFERROR(INDEX('Total-T7.2019'!AP$95:AP$274,1/LARGE(INDEX(('Total-T7.2019'!AQ$95:AQ$274=N$11)*('Total-T7.2019'!AP$95:AP$274&lt;0)/ROW('Total-T7.2019'!AQ$95:AQ$274),),ROW(A36))-94),"")</f>
        <v/>
      </c>
      <c r="H46" s="225" t="str">
        <f>IFERROR(INDEX('Total-T7.2019'!AK$95:AK$274,1/LARGE(INDEX(('Total-T7.2019'!AQ$95:AQ$274=N$11)*('Total-T7.2019'!AP$95:AP$274&lt;0)/ROW('Total-T7.2019'!AQ$95:AQ$274),),ROW(A36))-94),"")</f>
        <v/>
      </c>
      <c r="I46" s="226"/>
      <c r="J46" s="227" t="str">
        <f t="shared" si="1"/>
        <v/>
      </c>
      <c r="K46" s="232"/>
      <c r="L46" s="233"/>
      <c r="Q46" s="254"/>
    </row>
    <row r="47" spans="2:17" hidden="1" x14ac:dyDescent="0.4">
      <c r="B47" s="221"/>
      <c r="C47" s="255" t="str">
        <f>IFERROR(INDEX('Total-T7.2019'!B$95:B$274,1/LARGE(INDEX(('Total-T7.2019'!AQ$95:AQ$274=N$11)*('Total-T7.2019'!AP$95:AP$274&lt;0)/ROW('Total-T7.2019'!AQ$95:AQ$274),),ROW(A37))-94),"")</f>
        <v/>
      </c>
      <c r="D47" s="222" t="str">
        <f t="shared" si="2"/>
        <v/>
      </c>
      <c r="E47" s="223" t="str">
        <f>IFERROR(INDEX('Total-T7.2019'!C$95:C$274,1/LARGE(INDEX(('Total-T7.2019'!AQ$95:AQ$274=N$11)*('Total-T7.2019'!AP$95:AP$274&lt;0)/ROW('Total-T7.2019'!AQ$95:AQ$274),),ROW(A37))-94),"")</f>
        <v/>
      </c>
      <c r="F47" s="235"/>
      <c r="G47" s="224" t="str">
        <f>IFERROR(INDEX('Total-T7.2019'!AP$95:AP$274,1/LARGE(INDEX(('Total-T7.2019'!AQ$95:AQ$274=N$11)*('Total-T7.2019'!AP$95:AP$274&lt;0)/ROW('Total-T7.2019'!AQ$95:AQ$274),),ROW(A37))-94),"")</f>
        <v/>
      </c>
      <c r="H47" s="225" t="str">
        <f>IFERROR(INDEX('Total-T7.2019'!AK$95:AK$274,1/LARGE(INDEX(('Total-T7.2019'!AQ$95:AQ$274=N$11)*('Total-T7.2019'!AP$95:AP$274&lt;0)/ROW('Total-T7.2019'!AQ$95:AQ$274),),ROW(A37))-94),"")</f>
        <v/>
      </c>
      <c r="I47" s="226"/>
      <c r="J47" s="227" t="str">
        <f t="shared" si="1"/>
        <v/>
      </c>
      <c r="K47" s="232"/>
      <c r="L47" s="233"/>
      <c r="Q47" s="254"/>
    </row>
    <row r="48" spans="2:17" hidden="1" x14ac:dyDescent="0.4">
      <c r="B48" s="221"/>
      <c r="C48" s="255" t="str">
        <f>IFERROR(INDEX('Total-T7.2019'!B$95:B$274,1/LARGE(INDEX(('Total-T7.2019'!AQ$95:AQ$274=N$11)*('Total-T7.2019'!AP$95:AP$274&lt;0)/ROW('Total-T7.2019'!AQ$95:AQ$274),),ROW(A38))-94),"")</f>
        <v/>
      </c>
      <c r="D48" s="222" t="str">
        <f t="shared" si="2"/>
        <v/>
      </c>
      <c r="E48" s="223" t="str">
        <f>IFERROR(INDEX('Total-T7.2019'!C$95:C$274,1/LARGE(INDEX(('Total-T7.2019'!AQ$95:AQ$274=N$11)*('Total-T7.2019'!AP$95:AP$274&lt;0)/ROW('Total-T7.2019'!AQ$95:AQ$274),),ROW(A38))-94),"")</f>
        <v/>
      </c>
      <c r="F48" s="235"/>
      <c r="G48" s="224" t="str">
        <f>IFERROR(INDEX('Total-T7.2019'!AP$95:AP$274,1/LARGE(INDEX(('Total-T7.2019'!AQ$95:AQ$274=N$11)*('Total-T7.2019'!AP$95:AP$274&lt;0)/ROW('Total-T7.2019'!AQ$95:AQ$274),),ROW(A38))-94),"")</f>
        <v/>
      </c>
      <c r="H48" s="225" t="str">
        <f>IFERROR(INDEX('Total-T7.2019'!AK$95:AK$274,1/LARGE(INDEX(('Total-T7.2019'!AQ$95:AQ$274=N$11)*('Total-T7.2019'!AP$95:AP$274&lt;0)/ROW('Total-T7.2019'!AQ$95:AQ$274),),ROW(A38))-94),"")</f>
        <v/>
      </c>
      <c r="I48" s="226"/>
      <c r="J48" s="227" t="str">
        <f t="shared" si="1"/>
        <v/>
      </c>
      <c r="K48" s="232"/>
      <c r="L48" s="233"/>
      <c r="Q48" s="254"/>
    </row>
    <row r="49" spans="2:17" hidden="1" x14ac:dyDescent="0.4">
      <c r="B49" s="221"/>
      <c r="C49" s="255" t="str">
        <f>IFERROR(INDEX('Total-T7.2019'!B$95:B$274,1/LARGE(INDEX(('Total-T7.2019'!AQ$95:AQ$274=N$11)*('Total-T7.2019'!AP$95:AP$274&lt;0)/ROW('Total-T7.2019'!AQ$95:AQ$274),),ROW(A39))-94),"")</f>
        <v/>
      </c>
      <c r="D49" s="222" t="str">
        <f t="shared" si="2"/>
        <v/>
      </c>
      <c r="E49" s="223" t="str">
        <f>IFERROR(INDEX('Total-T7.2019'!C$95:C$274,1/LARGE(INDEX(('Total-T7.2019'!AQ$95:AQ$274=N$11)*('Total-T7.2019'!AP$95:AP$274&lt;0)/ROW('Total-T7.2019'!AQ$95:AQ$274),),ROW(A39))-94),"")</f>
        <v/>
      </c>
      <c r="F49" s="235"/>
      <c r="G49" s="224" t="str">
        <f>IFERROR(INDEX('Total-T7.2019'!AP$95:AP$274,1/LARGE(INDEX(('Total-T7.2019'!AQ$95:AQ$274=N$11)*('Total-T7.2019'!AP$95:AP$274&lt;0)/ROW('Total-T7.2019'!AQ$95:AQ$274),),ROW(A39))-94),"")</f>
        <v/>
      </c>
      <c r="H49" s="225" t="str">
        <f>IFERROR(INDEX('Total-T7.2019'!AK$95:AK$274,1/LARGE(INDEX(('Total-T7.2019'!AQ$95:AQ$274=N$11)*('Total-T7.2019'!AP$95:AP$274&lt;0)/ROW('Total-T7.2019'!AQ$95:AQ$274),),ROW(A39))-94),"")</f>
        <v/>
      </c>
      <c r="I49" s="226"/>
      <c r="J49" s="227" t="str">
        <f t="shared" si="1"/>
        <v/>
      </c>
      <c r="K49" s="232"/>
      <c r="L49" s="233"/>
      <c r="Q49" s="254"/>
    </row>
    <row r="50" spans="2:17" hidden="1" x14ac:dyDescent="0.4">
      <c r="B50" s="221"/>
      <c r="C50" s="255" t="str">
        <f>IFERROR(INDEX('Total-T7.2019'!B$95:B$274,1/LARGE(INDEX(('Total-T7.2019'!AQ$95:AQ$274=N$11)*('Total-T7.2019'!AP$95:AP$274&lt;0)/ROW('Total-T7.2019'!AQ$95:AQ$274),),ROW(A40))-94),"")</f>
        <v/>
      </c>
      <c r="D50" s="222" t="str">
        <f t="shared" si="2"/>
        <v/>
      </c>
      <c r="E50" s="223" t="str">
        <f>IFERROR(INDEX('Total-T7.2019'!C$95:C$274,1/LARGE(INDEX(('Total-T7.2019'!AQ$95:AQ$274=N$11)*('Total-T7.2019'!AP$95:AP$274&lt;0)/ROW('Total-T7.2019'!AQ$95:AQ$274),),ROW(A40))-94),"")</f>
        <v/>
      </c>
      <c r="F50" s="235"/>
      <c r="G50" s="224" t="str">
        <f>IFERROR(INDEX('Total-T7.2019'!AP$95:AP$274,1/LARGE(INDEX(('Total-T7.2019'!AQ$95:AQ$274=N$11)*('Total-T7.2019'!AP$95:AP$274&lt;0)/ROW('Total-T7.2019'!AQ$95:AQ$274),),ROW(A40))-94),"")</f>
        <v/>
      </c>
      <c r="H50" s="225" t="str">
        <f>IFERROR(INDEX('Total-T7.2019'!AK$95:AK$274,1/LARGE(INDEX(('Total-T7.2019'!AQ$95:AQ$274=N$11)*('Total-T7.2019'!AP$95:AP$274&lt;0)/ROW('Total-T7.2019'!AQ$95:AQ$274),),ROW(A40))-94),"")</f>
        <v/>
      </c>
      <c r="I50" s="226"/>
      <c r="J50" s="227" t="str">
        <f t="shared" si="1"/>
        <v/>
      </c>
      <c r="K50" s="232"/>
      <c r="L50" s="233"/>
      <c r="Q50" s="254"/>
    </row>
    <row r="51" spans="2:17" hidden="1" x14ac:dyDescent="0.4">
      <c r="B51" s="221"/>
      <c r="C51" s="255" t="str">
        <f>IFERROR(INDEX('Total-T7.2019'!B$95:B$274,1/LARGE(INDEX(('Total-T7.2019'!AQ$95:AQ$274=N$11)*('Total-T7.2019'!AP$95:AP$274&lt;0)/ROW('Total-T7.2019'!AQ$95:AQ$274),),ROW(A41))-94),"")</f>
        <v/>
      </c>
      <c r="D51" s="222" t="str">
        <f t="shared" si="2"/>
        <v/>
      </c>
      <c r="E51" s="223" t="str">
        <f>IFERROR(INDEX('Total-T7.2019'!C$95:C$274,1/LARGE(INDEX(('Total-T7.2019'!AQ$95:AQ$274=N$11)*('Total-T7.2019'!AP$95:AP$274&lt;0)/ROW('Total-T7.2019'!AQ$95:AQ$274),),ROW(A41))-94),"")</f>
        <v/>
      </c>
      <c r="F51" s="235"/>
      <c r="G51" s="224" t="str">
        <f>IFERROR(INDEX('Total-T7.2019'!AP$95:AP$274,1/LARGE(INDEX(('Total-T7.2019'!AQ$95:AQ$274=N$11)*('Total-T7.2019'!AP$95:AP$274&lt;0)/ROW('Total-T7.2019'!AQ$95:AQ$274),),ROW(A41))-94),"")</f>
        <v/>
      </c>
      <c r="H51" s="225" t="str">
        <f>IFERROR(INDEX('Total-T7.2019'!AK$95:AK$274,1/LARGE(INDEX(('Total-T7.2019'!AQ$95:AQ$274=N$11)*('Total-T7.2019'!AP$95:AP$274&lt;0)/ROW('Total-T7.2019'!AQ$95:AQ$274),),ROW(A41))-94),"")</f>
        <v/>
      </c>
      <c r="I51" s="226"/>
      <c r="J51" s="227" t="str">
        <f t="shared" si="1"/>
        <v/>
      </c>
      <c r="K51" s="232"/>
      <c r="L51" s="233"/>
      <c r="Q51" s="254"/>
    </row>
    <row r="52" spans="2:17" hidden="1" x14ac:dyDescent="0.4">
      <c r="B52" s="221"/>
      <c r="C52" s="255" t="str">
        <f>IFERROR(INDEX('Total-T7.2019'!B$95:B$274,1/LARGE(INDEX(('Total-T7.2019'!AQ$95:AQ$274=N$11)*('Total-T7.2019'!AP$95:AP$274&lt;0)/ROW('Total-T7.2019'!AQ$95:AQ$274),),ROW(A42))-94),"")</f>
        <v/>
      </c>
      <c r="D52" s="222" t="str">
        <f t="shared" si="2"/>
        <v/>
      </c>
      <c r="E52" s="223" t="str">
        <f>IFERROR(INDEX('Total-T7.2019'!C$95:C$274,1/LARGE(INDEX(('Total-T7.2019'!AQ$95:AQ$274=N$11)*('Total-T7.2019'!AP$95:AP$274&lt;0)/ROW('Total-T7.2019'!AQ$95:AQ$274),),ROW(A42))-94),"")</f>
        <v/>
      </c>
      <c r="F52" s="235"/>
      <c r="G52" s="224" t="str">
        <f>IFERROR(INDEX('Total-T7.2019'!AP$95:AP$274,1/LARGE(INDEX(('Total-T7.2019'!AQ$95:AQ$274=N$11)*('Total-T7.2019'!AP$95:AP$274&lt;0)/ROW('Total-T7.2019'!AQ$95:AQ$274),),ROW(A42))-94),"")</f>
        <v/>
      </c>
      <c r="H52" s="225" t="str">
        <f>IFERROR(INDEX('Total-T7.2019'!AK$95:AK$274,1/LARGE(INDEX(('Total-T7.2019'!AQ$95:AQ$274=N$11)*('Total-T7.2019'!AP$95:AP$274&lt;0)/ROW('Total-T7.2019'!AQ$95:AQ$274),),ROW(A42))-94),"")</f>
        <v/>
      </c>
      <c r="I52" s="226"/>
      <c r="J52" s="227" t="str">
        <f t="shared" si="1"/>
        <v/>
      </c>
      <c r="K52" s="232"/>
      <c r="L52" s="233"/>
      <c r="Q52" s="254"/>
    </row>
    <row r="53" spans="2:17" hidden="1" x14ac:dyDescent="0.4">
      <c r="B53" s="221"/>
      <c r="C53" s="255" t="str">
        <f>IFERROR(INDEX('Total-T7.2019'!B$95:B$274,1/LARGE(INDEX(('Total-T7.2019'!AQ$95:AQ$274=N$11)*('Total-T7.2019'!AP$95:AP$274&lt;0)/ROW('Total-T7.2019'!AQ$95:AQ$274),),ROW(A43))-94),"")</f>
        <v/>
      </c>
      <c r="D53" s="222" t="str">
        <f t="shared" si="2"/>
        <v/>
      </c>
      <c r="E53" s="223" t="str">
        <f>IFERROR(INDEX('Total-T7.2019'!C$95:C$274,1/LARGE(INDEX(('Total-T7.2019'!AQ$95:AQ$274=N$11)*('Total-T7.2019'!AP$95:AP$274&lt;0)/ROW('Total-T7.2019'!AQ$95:AQ$274),),ROW(A43))-94),"")</f>
        <v/>
      </c>
      <c r="F53" s="235"/>
      <c r="G53" s="224" t="str">
        <f>IFERROR(INDEX('Total-T7.2019'!AP$95:AP$274,1/LARGE(INDEX(('Total-T7.2019'!AQ$95:AQ$274=N$11)*('Total-T7.2019'!AP$95:AP$274&lt;0)/ROW('Total-T7.2019'!AQ$95:AQ$274),),ROW(A43))-94),"")</f>
        <v/>
      </c>
      <c r="H53" s="225" t="str">
        <f>IFERROR(INDEX('Total-T7.2019'!AK$95:AK$274,1/LARGE(INDEX(('Total-T7.2019'!AQ$95:AQ$274=N$11)*('Total-T7.2019'!AP$95:AP$274&lt;0)/ROW('Total-T7.2019'!AQ$95:AQ$274),),ROW(A43))-94),"")</f>
        <v/>
      </c>
      <c r="I53" s="226"/>
      <c r="J53" s="227" t="str">
        <f t="shared" si="1"/>
        <v/>
      </c>
      <c r="K53" s="232"/>
      <c r="L53" s="233"/>
      <c r="Q53" s="254"/>
    </row>
    <row r="54" spans="2:17" hidden="1" x14ac:dyDescent="0.4">
      <c r="B54" s="221"/>
      <c r="C54" s="255" t="str">
        <f>IFERROR(INDEX('Total-T7.2019'!B$95:B$274,1/LARGE(INDEX(('Total-T7.2019'!AQ$95:AQ$274=N$11)*('Total-T7.2019'!AP$95:AP$274&lt;0)/ROW('Total-T7.2019'!AQ$95:AQ$274),),ROW(A44))-94),"")</f>
        <v/>
      </c>
      <c r="D54" s="222" t="str">
        <f t="shared" si="2"/>
        <v/>
      </c>
      <c r="E54" s="223" t="str">
        <f>IFERROR(INDEX('Total-T7.2019'!C$95:C$274,1/LARGE(INDEX(('Total-T7.2019'!AQ$95:AQ$274=N$11)*('Total-T7.2019'!AP$95:AP$274&lt;0)/ROW('Total-T7.2019'!AQ$95:AQ$274),),ROW(A44))-94),"")</f>
        <v/>
      </c>
      <c r="F54" s="235"/>
      <c r="G54" s="224" t="str">
        <f>IFERROR(INDEX('Total-T7.2019'!AP$95:AP$274,1/LARGE(INDEX(('Total-T7.2019'!AQ$95:AQ$274=N$11)*('Total-T7.2019'!AP$95:AP$274&lt;0)/ROW('Total-T7.2019'!AQ$95:AQ$274),),ROW(A44))-94),"")</f>
        <v/>
      </c>
      <c r="H54" s="225" t="str">
        <f>IFERROR(INDEX('Total-T7.2019'!AK$95:AK$274,1/LARGE(INDEX(('Total-T7.2019'!AQ$95:AQ$274=N$11)*('Total-T7.2019'!AP$95:AP$274&lt;0)/ROW('Total-T7.2019'!AQ$95:AQ$274),),ROW(A44))-94),"")</f>
        <v/>
      </c>
      <c r="I54" s="226"/>
      <c r="J54" s="227" t="str">
        <f t="shared" si="1"/>
        <v/>
      </c>
      <c r="K54" s="232"/>
      <c r="L54" s="233"/>
      <c r="Q54" s="254"/>
    </row>
    <row r="55" spans="2:17" hidden="1" x14ac:dyDescent="0.4">
      <c r="B55" s="221"/>
      <c r="C55" s="255" t="str">
        <f>IFERROR(INDEX('Total-T7.2019'!B$95:B$274,1/LARGE(INDEX(('Total-T7.2019'!AQ$95:AQ$274=N$11)*('Total-T7.2019'!AP$95:AP$274&lt;0)/ROW('Total-T7.2019'!AQ$95:AQ$274),),ROW(A45))-94),"")</f>
        <v/>
      </c>
      <c r="D55" s="222" t="str">
        <f t="shared" si="2"/>
        <v/>
      </c>
      <c r="E55" s="223" t="str">
        <f>IFERROR(INDEX('Total-T7.2019'!C$95:C$274,1/LARGE(INDEX(('Total-T7.2019'!AQ$95:AQ$274=N$11)*('Total-T7.2019'!AP$95:AP$274&lt;0)/ROW('Total-T7.2019'!AQ$95:AQ$274),),ROW(A45))-94),"")</f>
        <v/>
      </c>
      <c r="F55" s="235"/>
      <c r="G55" s="224" t="str">
        <f>IFERROR(INDEX('Total-T7.2019'!AP$95:AP$274,1/LARGE(INDEX(('Total-T7.2019'!AQ$95:AQ$274=N$11)*('Total-T7.2019'!AP$95:AP$274&lt;0)/ROW('Total-T7.2019'!AQ$95:AQ$274),),ROW(A45))-94),"")</f>
        <v/>
      </c>
      <c r="H55" s="225" t="str">
        <f>IFERROR(INDEX('Total-T7.2019'!AK$95:AK$274,1/LARGE(INDEX(('Total-T7.2019'!AQ$95:AQ$274=N$11)*('Total-T7.2019'!AP$95:AP$274&lt;0)/ROW('Total-T7.2019'!AQ$95:AQ$274),),ROW(A45))-94),"")</f>
        <v/>
      </c>
      <c r="I55" s="226"/>
      <c r="J55" s="227" t="str">
        <f t="shared" si="1"/>
        <v/>
      </c>
      <c r="K55" s="232"/>
      <c r="L55" s="233"/>
      <c r="Q55" s="254"/>
    </row>
    <row r="56" spans="2:17" hidden="1" x14ac:dyDescent="0.4">
      <c r="B56" s="221"/>
      <c r="C56" s="255" t="str">
        <f>IFERROR(INDEX('Total-T7.2019'!B$95:B$274,1/LARGE(INDEX(('Total-T7.2019'!AQ$95:AQ$274=N$11)*('Total-T7.2019'!AP$95:AP$274&lt;0)/ROW('Total-T7.2019'!AQ$95:AQ$274),),ROW(A46))-94),"")</f>
        <v/>
      </c>
      <c r="D56" s="222" t="str">
        <f t="shared" si="2"/>
        <v/>
      </c>
      <c r="E56" s="223" t="str">
        <f>IFERROR(INDEX('Total-T7.2019'!C$95:C$274,1/LARGE(INDEX(('Total-T7.2019'!AQ$95:AQ$274=N$11)*('Total-T7.2019'!AP$95:AP$274&lt;0)/ROW('Total-T7.2019'!AQ$95:AQ$274),),ROW(A46))-94),"")</f>
        <v/>
      </c>
      <c r="F56" s="235"/>
      <c r="G56" s="224" t="str">
        <f>IFERROR(INDEX('Total-T7.2019'!AP$95:AP$274,1/LARGE(INDEX(('Total-T7.2019'!AQ$95:AQ$274=N$11)*('Total-T7.2019'!AP$95:AP$274&lt;0)/ROW('Total-T7.2019'!AQ$95:AQ$274),),ROW(A46))-94),"")</f>
        <v/>
      </c>
      <c r="H56" s="225" t="str">
        <f>IFERROR(INDEX('Total-T7.2019'!AK$95:AK$274,1/LARGE(INDEX(('Total-T7.2019'!AQ$95:AQ$274=N$11)*('Total-T7.2019'!AP$95:AP$274&lt;0)/ROW('Total-T7.2019'!AQ$95:AQ$274),),ROW(A46))-94),"")</f>
        <v/>
      </c>
      <c r="I56" s="226"/>
      <c r="J56" s="227" t="str">
        <f t="shared" si="1"/>
        <v/>
      </c>
      <c r="K56" s="232"/>
      <c r="L56" s="233"/>
      <c r="Q56" s="254"/>
    </row>
    <row r="57" spans="2:17" hidden="1" x14ac:dyDescent="0.4">
      <c r="B57" s="221"/>
      <c r="C57" s="255" t="str">
        <f>IFERROR(INDEX('Total-T7.2019'!B$95:B$274,1/LARGE(INDEX(('Total-T7.2019'!AQ$95:AQ$274=N$11)*('Total-T7.2019'!AP$95:AP$274&lt;0)/ROW('Total-T7.2019'!AQ$95:AQ$274),),ROW(A47))-94),"")</f>
        <v/>
      </c>
      <c r="D57" s="222" t="str">
        <f t="shared" si="2"/>
        <v/>
      </c>
      <c r="E57" s="223" t="str">
        <f>IFERROR(INDEX('Total-T7.2019'!C$95:C$274,1/LARGE(INDEX(('Total-T7.2019'!AQ$95:AQ$274=N$11)*('Total-T7.2019'!AP$95:AP$274&lt;0)/ROW('Total-T7.2019'!AQ$95:AQ$274),),ROW(A47))-94),"")</f>
        <v/>
      </c>
      <c r="F57" s="235"/>
      <c r="G57" s="224" t="str">
        <f>IFERROR(INDEX('Total-T7.2019'!AP$95:AP$274,1/LARGE(INDEX(('Total-T7.2019'!AQ$95:AQ$274=N$11)*('Total-T7.2019'!AP$95:AP$274&lt;0)/ROW('Total-T7.2019'!AQ$95:AQ$274),),ROW(A47))-94),"")</f>
        <v/>
      </c>
      <c r="H57" s="225" t="str">
        <f>IFERROR(INDEX('Total-T7.2019'!AK$95:AK$274,1/LARGE(INDEX(('Total-T7.2019'!AQ$95:AQ$274=N$11)*('Total-T7.2019'!AP$95:AP$274&lt;0)/ROW('Total-T7.2019'!AQ$95:AQ$274),),ROW(A47))-94),"")</f>
        <v/>
      </c>
      <c r="I57" s="226"/>
      <c r="J57" s="227" t="str">
        <f t="shared" si="1"/>
        <v/>
      </c>
      <c r="K57" s="232"/>
      <c r="L57" s="233"/>
      <c r="Q57" s="254"/>
    </row>
    <row r="58" spans="2:17" hidden="1" x14ac:dyDescent="0.4">
      <c r="B58" s="221"/>
      <c r="C58" s="255" t="str">
        <f>IFERROR(INDEX('Total-T7.2019'!B$95:B$274,1/LARGE(INDEX(('Total-T7.2019'!AQ$95:AQ$274=N$11)*('Total-T7.2019'!AP$95:AP$274&lt;0)/ROW('Total-T7.2019'!AQ$95:AQ$274),),ROW(A48))-94),"")</f>
        <v/>
      </c>
      <c r="D58" s="222" t="str">
        <f t="shared" si="2"/>
        <v/>
      </c>
      <c r="E58" s="223" t="str">
        <f>IFERROR(INDEX('Total-T7.2019'!C$95:C$274,1/LARGE(INDEX(('Total-T7.2019'!AQ$95:AQ$274=N$11)*('Total-T7.2019'!AP$95:AP$274&lt;0)/ROW('Total-T7.2019'!AQ$95:AQ$274),),ROW(A48))-94),"")</f>
        <v/>
      </c>
      <c r="F58" s="235"/>
      <c r="G58" s="224" t="str">
        <f>IFERROR(INDEX('Total-T7.2019'!AP$95:AP$274,1/LARGE(INDEX(('Total-T7.2019'!AQ$95:AQ$274=N$11)*('Total-T7.2019'!AP$95:AP$274&lt;0)/ROW('Total-T7.2019'!AQ$95:AQ$274),),ROW(A48))-94),"")</f>
        <v/>
      </c>
      <c r="H58" s="225" t="str">
        <f>IFERROR(INDEX('Total-T7.2019'!AK$95:AK$274,1/LARGE(INDEX(('Total-T7.2019'!AQ$95:AQ$274=N$11)*('Total-T7.2019'!AP$95:AP$274&lt;0)/ROW('Total-T7.2019'!AQ$95:AQ$274),),ROW(A48))-94),"")</f>
        <v/>
      </c>
      <c r="I58" s="226"/>
      <c r="J58" s="227" t="str">
        <f t="shared" si="1"/>
        <v/>
      </c>
      <c r="K58" s="232"/>
      <c r="L58" s="233"/>
      <c r="Q58" s="254"/>
    </row>
    <row r="59" spans="2:17" hidden="1" x14ac:dyDescent="0.4">
      <c r="B59" s="221"/>
      <c r="C59" s="255" t="str">
        <f>IFERROR(INDEX('Total-T7.2019'!B$95:B$274,1/LARGE(INDEX(('Total-T7.2019'!AQ$95:AQ$274=N$11)*('Total-T7.2019'!AP$95:AP$274&lt;0)/ROW('Total-T7.2019'!AQ$95:AQ$274),),ROW(A49))-94),"")</f>
        <v/>
      </c>
      <c r="D59" s="222" t="str">
        <f t="shared" si="2"/>
        <v/>
      </c>
      <c r="E59" s="223" t="str">
        <f>IFERROR(INDEX('Total-T7.2019'!C$95:C$274,1/LARGE(INDEX(('Total-T7.2019'!AQ$95:AQ$274=N$11)*('Total-T7.2019'!AP$95:AP$274&lt;0)/ROW('Total-T7.2019'!AQ$95:AQ$274),),ROW(A49))-94),"")</f>
        <v/>
      </c>
      <c r="F59" s="235"/>
      <c r="G59" s="224" t="str">
        <f>IFERROR(INDEX('Total-T7.2019'!AP$95:AP$274,1/LARGE(INDEX(('Total-T7.2019'!AQ$95:AQ$274=N$11)*('Total-T7.2019'!AP$95:AP$274&lt;0)/ROW('Total-T7.2019'!AQ$95:AQ$274),),ROW(A49))-94),"")</f>
        <v/>
      </c>
      <c r="H59" s="225" t="str">
        <f>IFERROR(INDEX('Total-T7.2019'!AK$95:AK$274,1/LARGE(INDEX(('Total-T7.2019'!AQ$95:AQ$274=N$11)*('Total-T7.2019'!AP$95:AP$274&lt;0)/ROW('Total-T7.2019'!AQ$95:AQ$274),),ROW(A49))-94),"")</f>
        <v/>
      </c>
      <c r="I59" s="226"/>
      <c r="J59" s="227" t="str">
        <f t="shared" si="1"/>
        <v/>
      </c>
      <c r="K59" s="232"/>
      <c r="L59" s="233"/>
      <c r="Q59" s="254"/>
    </row>
    <row r="60" spans="2:17" hidden="1" x14ac:dyDescent="0.4">
      <c r="B60" s="221"/>
      <c r="C60" s="255" t="str">
        <f>IFERROR(INDEX('Total-T7.2019'!B$95:B$274,1/LARGE(INDEX(('Total-T7.2019'!AQ$95:AQ$274=N$11)*('Total-T7.2019'!AP$95:AP$274&lt;0)/ROW('Total-T7.2019'!AQ$95:AQ$274),),ROW(A50))-94),"")</f>
        <v/>
      </c>
      <c r="D60" s="222" t="str">
        <f t="shared" si="2"/>
        <v/>
      </c>
      <c r="E60" s="223" t="str">
        <f>IFERROR(INDEX('Total-T7.2019'!C$95:C$274,1/LARGE(INDEX(('Total-T7.2019'!AQ$95:AQ$274=N$11)*('Total-T7.2019'!AP$95:AP$274&lt;0)/ROW('Total-T7.2019'!AQ$95:AQ$274),),ROW(A50))-94),"")</f>
        <v/>
      </c>
      <c r="F60" s="235"/>
      <c r="G60" s="224" t="str">
        <f>IFERROR(INDEX('Total-T7.2019'!AP$95:AP$274,1/LARGE(INDEX(('Total-T7.2019'!AQ$95:AQ$274=N$11)*('Total-T7.2019'!AP$95:AP$274&lt;0)/ROW('Total-T7.2019'!AQ$95:AQ$274),),ROW(A50))-94),"")</f>
        <v/>
      </c>
      <c r="H60" s="225" t="str">
        <f>IFERROR(INDEX('Total-T7.2019'!AK$95:AK$274,1/LARGE(INDEX(('Total-T7.2019'!AQ$95:AQ$274=N$11)*('Total-T7.2019'!AP$95:AP$274&lt;0)/ROW('Total-T7.2019'!AQ$95:AQ$274),),ROW(A50))-94),"")</f>
        <v/>
      </c>
      <c r="I60" s="226"/>
      <c r="J60" s="227" t="str">
        <f t="shared" si="1"/>
        <v/>
      </c>
      <c r="K60" s="232"/>
      <c r="L60" s="233"/>
      <c r="Q60" s="254"/>
    </row>
    <row r="61" spans="2:17" hidden="1" x14ac:dyDescent="0.4">
      <c r="B61" s="221"/>
      <c r="C61" s="255" t="str">
        <f>IFERROR(INDEX('Total-T7.2019'!B$95:B$274,1/LARGE(INDEX(('Total-T7.2019'!AQ$95:AQ$274=N$11)*('Total-T7.2019'!AP$95:AP$274&lt;0)/ROW('Total-T7.2019'!AQ$95:AQ$274),),ROW(A51))-94),"")</f>
        <v/>
      </c>
      <c r="D61" s="222" t="str">
        <f t="shared" si="2"/>
        <v/>
      </c>
      <c r="E61" s="223" t="str">
        <f>IFERROR(INDEX('Total-T7.2019'!C$95:C$274,1/LARGE(INDEX(('Total-T7.2019'!AQ$95:AQ$274=N$11)*('Total-T7.2019'!AP$95:AP$274&lt;0)/ROW('Total-T7.2019'!AQ$95:AQ$274),),ROW(A51))-94),"")</f>
        <v/>
      </c>
      <c r="F61" s="235"/>
      <c r="G61" s="224" t="str">
        <f>IFERROR(INDEX('Total-T7.2019'!AP$95:AP$274,1/LARGE(INDEX(('Total-T7.2019'!AQ$95:AQ$274=N$11)*('Total-T7.2019'!AP$95:AP$274&lt;0)/ROW('Total-T7.2019'!AQ$95:AQ$274),),ROW(A51))-94),"")</f>
        <v/>
      </c>
      <c r="H61" s="225" t="str">
        <f>IFERROR(INDEX('Total-T7.2019'!AK$95:AK$274,1/LARGE(INDEX(('Total-T7.2019'!AQ$95:AQ$274=N$11)*('Total-T7.2019'!AP$95:AP$274&lt;0)/ROW('Total-T7.2019'!AQ$95:AQ$274),),ROW(A51))-94),"")</f>
        <v/>
      </c>
      <c r="I61" s="226"/>
      <c r="J61" s="227" t="str">
        <f t="shared" si="1"/>
        <v/>
      </c>
      <c r="K61" s="232"/>
      <c r="L61" s="233"/>
      <c r="Q61" s="254"/>
    </row>
    <row r="62" spans="2:17" hidden="1" x14ac:dyDescent="0.4">
      <c r="B62" s="221"/>
      <c r="C62" s="255" t="str">
        <f>IFERROR(INDEX('Total-T7.2019'!B$95:B$274,1/LARGE(INDEX(('Total-T7.2019'!AQ$95:AQ$274=N$11)*('Total-T7.2019'!AP$95:AP$274&lt;0)/ROW('Total-T7.2019'!AQ$95:AQ$274),),ROW(A52))-94),"")</f>
        <v/>
      </c>
      <c r="D62" s="222" t="str">
        <f t="shared" si="2"/>
        <v/>
      </c>
      <c r="E62" s="223" t="str">
        <f>IFERROR(INDEX('Total-T7.2019'!C$95:C$274,1/LARGE(INDEX(('Total-T7.2019'!AQ$95:AQ$274=N$11)*('Total-T7.2019'!AP$95:AP$274&lt;0)/ROW('Total-T7.2019'!AQ$95:AQ$274),),ROW(A52))-94),"")</f>
        <v/>
      </c>
      <c r="F62" s="235"/>
      <c r="G62" s="224" t="str">
        <f>IFERROR(INDEX('Total-T7.2019'!AP$95:AP$274,1/LARGE(INDEX(('Total-T7.2019'!AQ$95:AQ$274=N$11)*('Total-T7.2019'!AP$95:AP$274&lt;0)/ROW('Total-T7.2019'!AQ$95:AQ$274),),ROW(A52))-94),"")</f>
        <v/>
      </c>
      <c r="H62" s="225" t="str">
        <f>IFERROR(INDEX('Total-T7.2019'!AK$95:AK$274,1/LARGE(INDEX(('Total-T7.2019'!AQ$95:AQ$274=N$11)*('Total-T7.2019'!AP$95:AP$274&lt;0)/ROW('Total-T7.2019'!AQ$95:AQ$274),),ROW(A52))-94),"")</f>
        <v/>
      </c>
      <c r="I62" s="226"/>
      <c r="J62" s="227" t="str">
        <f t="shared" si="1"/>
        <v/>
      </c>
      <c r="K62" s="232"/>
      <c r="L62" s="233"/>
      <c r="Q62" s="254"/>
    </row>
    <row r="63" spans="2:17" hidden="1" x14ac:dyDescent="0.4">
      <c r="B63" s="221"/>
      <c r="C63" s="255" t="str">
        <f>IFERROR(INDEX('Total-T7.2019'!B$95:B$274,1/LARGE(INDEX(('Total-T7.2019'!AQ$95:AQ$274=N$11)*('Total-T7.2019'!AP$95:AP$274&lt;0)/ROW('Total-T7.2019'!AQ$95:AQ$274),),ROW(A53))-94),"")</f>
        <v/>
      </c>
      <c r="D63" s="222" t="str">
        <f t="shared" si="2"/>
        <v/>
      </c>
      <c r="E63" s="223" t="str">
        <f>IFERROR(INDEX('Total-T7.2019'!C$95:C$274,1/LARGE(INDEX(('Total-T7.2019'!AQ$95:AQ$274=N$11)*('Total-T7.2019'!AP$95:AP$274&lt;0)/ROW('Total-T7.2019'!AQ$95:AQ$274),),ROW(A53))-94),"")</f>
        <v/>
      </c>
      <c r="F63" s="235"/>
      <c r="G63" s="224" t="str">
        <f>IFERROR(INDEX('Total-T7.2019'!AP$95:AP$274,1/LARGE(INDEX(('Total-T7.2019'!AQ$95:AQ$274=N$11)*('Total-T7.2019'!AP$95:AP$274&lt;0)/ROW('Total-T7.2019'!AQ$95:AQ$274),),ROW(A53))-94),"")</f>
        <v/>
      </c>
      <c r="H63" s="225" t="str">
        <f>IFERROR(INDEX('Total-T7.2019'!AK$95:AK$274,1/LARGE(INDEX(('Total-T7.2019'!AQ$95:AQ$274=N$11)*('Total-T7.2019'!AP$95:AP$274&lt;0)/ROW('Total-T7.2019'!AQ$95:AQ$274),),ROW(A53))-94),"")</f>
        <v/>
      </c>
      <c r="I63" s="226"/>
      <c r="J63" s="227" t="str">
        <f t="shared" si="1"/>
        <v/>
      </c>
      <c r="K63" s="232"/>
      <c r="L63" s="233"/>
      <c r="Q63" s="254"/>
    </row>
    <row r="64" spans="2:17" hidden="1" x14ac:dyDescent="0.4">
      <c r="B64" s="221"/>
      <c r="C64" s="255" t="str">
        <f>IFERROR(INDEX('Total-T7.2019'!B$95:B$274,1/LARGE(INDEX(('Total-T7.2019'!AQ$95:AQ$274=N$11)*('Total-T7.2019'!AP$95:AP$274&lt;0)/ROW('Total-T7.2019'!AQ$95:AQ$274),),ROW(A54))-94),"")</f>
        <v/>
      </c>
      <c r="D64" s="222" t="str">
        <f t="shared" si="2"/>
        <v/>
      </c>
      <c r="E64" s="223" t="str">
        <f>IFERROR(INDEX('Total-T7.2019'!C$95:C$274,1/LARGE(INDEX(('Total-T7.2019'!AQ$95:AQ$274=N$11)*('Total-T7.2019'!AP$95:AP$274&lt;0)/ROW('Total-T7.2019'!AQ$95:AQ$274),),ROW(A54))-94),"")</f>
        <v/>
      </c>
      <c r="F64" s="235"/>
      <c r="G64" s="224" t="str">
        <f>IFERROR(INDEX('Total-T7.2019'!AP$95:AP$274,1/LARGE(INDEX(('Total-T7.2019'!AQ$95:AQ$274=N$11)*('Total-T7.2019'!AP$95:AP$274&lt;0)/ROW('Total-T7.2019'!AQ$95:AQ$274),),ROW(A54))-94),"")</f>
        <v/>
      </c>
      <c r="H64" s="225" t="str">
        <f>IFERROR(INDEX('Total-T7.2019'!AK$95:AK$274,1/LARGE(INDEX(('Total-T7.2019'!AQ$95:AQ$274=N$11)*('Total-T7.2019'!AP$95:AP$274&lt;0)/ROW('Total-T7.2019'!AQ$95:AQ$274),),ROW(A54))-94),"")</f>
        <v/>
      </c>
      <c r="I64" s="226"/>
      <c r="J64" s="227" t="str">
        <f t="shared" si="1"/>
        <v/>
      </c>
      <c r="K64" s="232"/>
      <c r="L64" s="233"/>
      <c r="Q64" s="254"/>
    </row>
    <row r="65" spans="2:17" hidden="1" x14ac:dyDescent="0.4">
      <c r="B65" s="221"/>
      <c r="C65" s="255" t="str">
        <f>IFERROR(INDEX('Total-T7.2019'!B$95:B$274,1/LARGE(INDEX(('Total-T7.2019'!AQ$95:AQ$274=N$11)*('Total-T7.2019'!AP$95:AP$274&lt;0)/ROW('Total-T7.2019'!AQ$95:AQ$274),),ROW(A55))-94),"")</f>
        <v/>
      </c>
      <c r="D65" s="222" t="str">
        <f t="shared" si="2"/>
        <v/>
      </c>
      <c r="E65" s="223" t="str">
        <f>IFERROR(INDEX('Total-T7.2019'!C$95:C$274,1/LARGE(INDEX(('Total-T7.2019'!AQ$95:AQ$274=N$11)*('Total-T7.2019'!AP$95:AP$274&lt;0)/ROW('Total-T7.2019'!AQ$95:AQ$274),),ROW(A55))-94),"")</f>
        <v/>
      </c>
      <c r="F65" s="235"/>
      <c r="G65" s="224" t="str">
        <f>IFERROR(INDEX('Total-T7.2019'!AP$95:AP$274,1/LARGE(INDEX(('Total-T7.2019'!AQ$95:AQ$274=N$11)*('Total-T7.2019'!AP$95:AP$274&lt;0)/ROW('Total-T7.2019'!AQ$95:AQ$274),),ROW(A55))-94),"")</f>
        <v/>
      </c>
      <c r="H65" s="225" t="str">
        <f>IFERROR(INDEX('Total-T7.2019'!AK$95:AK$274,1/LARGE(INDEX(('Total-T7.2019'!AQ$95:AQ$274=N$11)*('Total-T7.2019'!AP$95:AP$274&lt;0)/ROW('Total-T7.2019'!AQ$95:AQ$274),),ROW(A55))-94),"")</f>
        <v/>
      </c>
      <c r="I65" s="226"/>
      <c r="J65" s="227" t="str">
        <f t="shared" si="1"/>
        <v/>
      </c>
      <c r="K65" s="232"/>
      <c r="L65" s="233"/>
      <c r="Q65" s="254"/>
    </row>
    <row r="66" spans="2:17" hidden="1" x14ac:dyDescent="0.4">
      <c r="B66" s="221"/>
      <c r="C66" s="255" t="str">
        <f>IFERROR(INDEX('Total-T7.2019'!B$95:B$274,1/LARGE(INDEX(('Total-T7.2019'!AQ$95:AQ$274=N$11)*('Total-T7.2019'!AP$95:AP$274&lt;0)/ROW('Total-T7.2019'!AQ$95:AQ$274),),ROW(A56))-94),"")</f>
        <v/>
      </c>
      <c r="D66" s="222" t="str">
        <f t="shared" si="2"/>
        <v/>
      </c>
      <c r="E66" s="223" t="str">
        <f>IFERROR(INDEX('Total-T7.2019'!C$95:C$274,1/LARGE(INDEX(('Total-T7.2019'!AQ$95:AQ$274=N$11)*('Total-T7.2019'!AP$95:AP$274&lt;0)/ROW('Total-T7.2019'!AQ$95:AQ$274),),ROW(A56))-94),"")</f>
        <v/>
      </c>
      <c r="F66" s="235"/>
      <c r="G66" s="224" t="str">
        <f>IFERROR(INDEX('Total-T7.2019'!AP$95:AP$274,1/LARGE(INDEX(('Total-T7.2019'!AQ$95:AQ$274=N$11)*('Total-T7.2019'!AP$95:AP$274&lt;0)/ROW('Total-T7.2019'!AQ$95:AQ$274),),ROW(A56))-94),"")</f>
        <v/>
      </c>
      <c r="H66" s="225" t="str">
        <f>IFERROR(INDEX('Total-T7.2019'!AK$95:AK$274,1/LARGE(INDEX(('Total-T7.2019'!AQ$95:AQ$274=N$11)*('Total-T7.2019'!AP$95:AP$274&lt;0)/ROW('Total-T7.2019'!AQ$95:AQ$274),),ROW(A56))-94),"")</f>
        <v/>
      </c>
      <c r="I66" s="226"/>
      <c r="J66" s="227" t="str">
        <f t="shared" si="1"/>
        <v/>
      </c>
      <c r="K66" s="232"/>
      <c r="L66" s="233"/>
      <c r="Q66" s="254"/>
    </row>
    <row r="67" spans="2:17" hidden="1" x14ac:dyDescent="0.4">
      <c r="B67" s="221"/>
      <c r="C67" s="255" t="str">
        <f>IFERROR(INDEX('Total-T7.2019'!B$95:B$274,1/LARGE(INDEX(('Total-T7.2019'!AQ$95:AQ$274=N$11)*('Total-T7.2019'!AP$95:AP$274&lt;0)/ROW('Total-T7.2019'!AQ$95:AQ$274),),ROW(A57))-94),"")</f>
        <v/>
      </c>
      <c r="D67" s="222" t="str">
        <f t="shared" si="2"/>
        <v/>
      </c>
      <c r="E67" s="223" t="str">
        <f>IFERROR(INDEX('Total-T7.2019'!C$95:C$274,1/LARGE(INDEX(('Total-T7.2019'!AQ$95:AQ$274=N$11)*('Total-T7.2019'!AP$95:AP$274&lt;0)/ROW('Total-T7.2019'!AQ$95:AQ$274),),ROW(A57))-94),"")</f>
        <v/>
      </c>
      <c r="F67" s="235"/>
      <c r="G67" s="224" t="str">
        <f>IFERROR(INDEX('Total-T7.2019'!AP$95:AP$274,1/LARGE(INDEX(('Total-T7.2019'!AQ$95:AQ$274=N$11)*('Total-T7.2019'!AP$95:AP$274&lt;0)/ROW('Total-T7.2019'!AQ$95:AQ$274),),ROW(A57))-94),"")</f>
        <v/>
      </c>
      <c r="H67" s="225" t="str">
        <f>IFERROR(INDEX('Total-T7.2019'!AK$95:AK$274,1/LARGE(INDEX(('Total-T7.2019'!AQ$95:AQ$274=N$11)*('Total-T7.2019'!AP$95:AP$274&lt;0)/ROW('Total-T7.2019'!AQ$95:AQ$274),),ROW(A57))-94),"")</f>
        <v/>
      </c>
      <c r="I67" s="226"/>
      <c r="J67" s="227" t="str">
        <f t="shared" si="1"/>
        <v/>
      </c>
      <c r="K67" s="232"/>
      <c r="L67" s="233"/>
      <c r="Q67" s="254"/>
    </row>
    <row r="68" spans="2:17" hidden="1" x14ac:dyDescent="0.4">
      <c r="B68" s="221"/>
      <c r="C68" s="255" t="str">
        <f>IFERROR(INDEX('Total-T7.2019'!B$95:B$274,1/LARGE(INDEX(('Total-T7.2019'!AQ$95:AQ$274=N$11)*('Total-T7.2019'!AP$95:AP$274&lt;0)/ROW('Total-T7.2019'!AQ$95:AQ$274),),ROW(A58))-94),"")</f>
        <v/>
      </c>
      <c r="D68" s="222" t="str">
        <f t="shared" si="2"/>
        <v/>
      </c>
      <c r="E68" s="223" t="str">
        <f>IFERROR(INDEX('Total-T7.2019'!C$95:C$274,1/LARGE(INDEX(('Total-T7.2019'!AQ$95:AQ$274=N$11)*('Total-T7.2019'!AP$95:AP$274&lt;0)/ROW('Total-T7.2019'!AQ$95:AQ$274),),ROW(A58))-94),"")</f>
        <v/>
      </c>
      <c r="F68" s="235"/>
      <c r="G68" s="224" t="str">
        <f>IFERROR(INDEX('Total-T7.2019'!AP$95:AP$274,1/LARGE(INDEX(('Total-T7.2019'!AQ$95:AQ$274=N$11)*('Total-T7.2019'!AP$95:AP$274&lt;0)/ROW('Total-T7.2019'!AQ$95:AQ$274),),ROW(A58))-94),"")</f>
        <v/>
      </c>
      <c r="H68" s="225" t="str">
        <f>IFERROR(INDEX('Total-T7.2019'!AK$95:AK$274,1/LARGE(INDEX(('Total-T7.2019'!AQ$95:AQ$274=N$11)*('Total-T7.2019'!AP$95:AP$274&lt;0)/ROW('Total-T7.2019'!AQ$95:AQ$274),),ROW(A58))-94),"")</f>
        <v/>
      </c>
      <c r="I68" s="226"/>
      <c r="J68" s="227" t="str">
        <f t="shared" si="1"/>
        <v/>
      </c>
      <c r="K68" s="232"/>
      <c r="L68" s="233"/>
      <c r="Q68" s="254"/>
    </row>
    <row r="69" spans="2:17" hidden="1" x14ac:dyDescent="0.4">
      <c r="B69" s="221"/>
      <c r="C69" s="255" t="str">
        <f>IFERROR(INDEX('Total-T7.2019'!B$95:B$274,1/LARGE(INDEX(('Total-T7.2019'!AQ$95:AQ$274=N$11)*('Total-T7.2019'!AP$95:AP$274&lt;0)/ROW('Total-T7.2019'!AQ$95:AQ$274),),ROW(A59))-94),"")</f>
        <v/>
      </c>
      <c r="D69" s="222" t="str">
        <f t="shared" si="2"/>
        <v/>
      </c>
      <c r="E69" s="223" t="str">
        <f>IFERROR(INDEX('Total-T7.2019'!C$95:C$274,1/LARGE(INDEX(('Total-T7.2019'!AQ$95:AQ$274=N$11)*('Total-T7.2019'!AP$95:AP$274&lt;0)/ROW('Total-T7.2019'!AQ$95:AQ$274),),ROW(A59))-94),"")</f>
        <v/>
      </c>
      <c r="F69" s="235"/>
      <c r="G69" s="224" t="str">
        <f>IFERROR(INDEX('Total-T7.2019'!AP$95:AP$274,1/LARGE(INDEX(('Total-T7.2019'!AQ$95:AQ$274=N$11)*('Total-T7.2019'!AP$95:AP$274&lt;0)/ROW('Total-T7.2019'!AQ$95:AQ$274),),ROW(A59))-94),"")</f>
        <v/>
      </c>
      <c r="H69" s="225" t="str">
        <f>IFERROR(INDEX('Total-T7.2019'!AK$95:AK$274,1/LARGE(INDEX(('Total-T7.2019'!AQ$95:AQ$274=N$11)*('Total-T7.2019'!AP$95:AP$274&lt;0)/ROW('Total-T7.2019'!AQ$95:AQ$274),),ROW(A59))-94),"")</f>
        <v/>
      </c>
      <c r="I69" s="226"/>
      <c r="J69" s="227" t="str">
        <f t="shared" si="1"/>
        <v/>
      </c>
      <c r="K69" s="232"/>
      <c r="L69" s="233"/>
      <c r="Q69" s="254"/>
    </row>
    <row r="70" spans="2:17" hidden="1" x14ac:dyDescent="0.4">
      <c r="B70" s="221"/>
      <c r="C70" s="255" t="str">
        <f>IFERROR(INDEX('Total-T7.2019'!B$95:B$274,1/LARGE(INDEX(('Total-T7.2019'!AQ$95:AQ$274=N$11)*('Total-T7.2019'!AP$95:AP$274&lt;0)/ROW('Total-T7.2019'!AQ$95:AQ$274),),ROW(A60))-94),"")</f>
        <v/>
      </c>
      <c r="D70" s="222" t="str">
        <f t="shared" si="2"/>
        <v/>
      </c>
      <c r="E70" s="223" t="str">
        <f>IFERROR(INDEX('Total-T7.2019'!C$95:C$274,1/LARGE(INDEX(('Total-T7.2019'!AQ$95:AQ$274=N$11)*('Total-T7.2019'!AP$95:AP$274&lt;0)/ROW('Total-T7.2019'!AQ$95:AQ$274),),ROW(A60))-94),"")</f>
        <v/>
      </c>
      <c r="F70" s="235"/>
      <c r="G70" s="224" t="str">
        <f>IFERROR(INDEX('Total-T7.2019'!AP$95:AP$274,1/LARGE(INDEX(('Total-T7.2019'!AQ$95:AQ$274=N$11)*('Total-T7.2019'!AP$95:AP$274&lt;0)/ROW('Total-T7.2019'!AQ$95:AQ$274),),ROW(A60))-94),"")</f>
        <v/>
      </c>
      <c r="H70" s="225" t="str">
        <f>IFERROR(INDEX('Total-T7.2019'!AK$95:AK$274,1/LARGE(INDEX(('Total-T7.2019'!AQ$95:AQ$274=N$11)*('Total-T7.2019'!AP$95:AP$274&lt;0)/ROW('Total-T7.2019'!AQ$95:AQ$274),),ROW(A60))-94),"")</f>
        <v/>
      </c>
      <c r="I70" s="226"/>
      <c r="J70" s="227" t="str">
        <f t="shared" si="1"/>
        <v/>
      </c>
      <c r="K70" s="232"/>
      <c r="L70" s="233"/>
      <c r="Q70" s="254"/>
    </row>
    <row r="71" spans="2:17" hidden="1" x14ac:dyDescent="0.4">
      <c r="B71" s="221"/>
      <c r="C71" s="255" t="str">
        <f>IFERROR(INDEX('Total-T7.2019'!B$95:B$274,1/LARGE(INDEX(('Total-T7.2019'!AQ$95:AQ$274=N$11)*('Total-T7.2019'!AP$95:AP$274&lt;0)/ROW('Total-T7.2019'!AQ$95:AQ$274),),ROW(A61))-94),"")</f>
        <v/>
      </c>
      <c r="D71" s="222" t="str">
        <f t="shared" si="2"/>
        <v/>
      </c>
      <c r="E71" s="223" t="str">
        <f>IFERROR(INDEX('Total-T7.2019'!C$95:C$274,1/LARGE(INDEX(('Total-T7.2019'!AQ$95:AQ$274=N$11)*('Total-T7.2019'!AP$95:AP$274&lt;0)/ROW('Total-T7.2019'!AQ$95:AQ$274),),ROW(A61))-94),"")</f>
        <v/>
      </c>
      <c r="F71" s="235"/>
      <c r="G71" s="224" t="str">
        <f>IFERROR(INDEX('Total-T7.2019'!AP$95:AP$274,1/LARGE(INDEX(('Total-T7.2019'!AQ$95:AQ$274=N$11)*('Total-T7.2019'!AP$95:AP$274&lt;0)/ROW('Total-T7.2019'!AQ$95:AQ$274),),ROW(A61))-94),"")</f>
        <v/>
      </c>
      <c r="H71" s="225" t="str">
        <f>IFERROR(INDEX('Total-T7.2019'!AK$95:AK$274,1/LARGE(INDEX(('Total-T7.2019'!AQ$95:AQ$274=N$11)*('Total-T7.2019'!AP$95:AP$274&lt;0)/ROW('Total-T7.2019'!AQ$95:AQ$274),),ROW(A61))-94),"")</f>
        <v/>
      </c>
      <c r="I71" s="226"/>
      <c r="J71" s="227" t="str">
        <f t="shared" si="1"/>
        <v/>
      </c>
      <c r="K71" s="232"/>
      <c r="L71" s="233"/>
      <c r="Q71" s="254"/>
    </row>
    <row r="72" spans="2:17" hidden="1" x14ac:dyDescent="0.4">
      <c r="B72" s="221"/>
      <c r="C72" s="255" t="str">
        <f>IFERROR(INDEX('Total-T7.2019'!B$95:B$274,1/LARGE(INDEX(('Total-T7.2019'!AQ$95:AQ$274=N$11)*('Total-T7.2019'!AP$95:AP$274&lt;0)/ROW('Total-T7.2019'!AQ$95:AQ$274),),ROW(A62))-94),"")</f>
        <v/>
      </c>
      <c r="D72" s="222" t="str">
        <f t="shared" si="2"/>
        <v/>
      </c>
      <c r="E72" s="223" t="str">
        <f>IFERROR(INDEX('Total-T7.2019'!C$95:C$274,1/LARGE(INDEX(('Total-T7.2019'!AQ$95:AQ$274=N$11)*('Total-T7.2019'!AP$95:AP$274&lt;0)/ROW('Total-T7.2019'!AQ$95:AQ$274),),ROW(A62))-94),"")</f>
        <v/>
      </c>
      <c r="F72" s="235"/>
      <c r="G72" s="224" t="str">
        <f>IFERROR(INDEX('Total-T7.2019'!AP$95:AP$274,1/LARGE(INDEX(('Total-T7.2019'!AQ$95:AQ$274=N$11)*('Total-T7.2019'!AP$95:AP$274&lt;0)/ROW('Total-T7.2019'!AQ$95:AQ$274),),ROW(A62))-94),"")</f>
        <v/>
      </c>
      <c r="H72" s="225" t="str">
        <f>IFERROR(INDEX('Total-T7.2019'!AK$95:AK$274,1/LARGE(INDEX(('Total-T7.2019'!AQ$95:AQ$274=N$11)*('Total-T7.2019'!AP$95:AP$274&lt;0)/ROW('Total-T7.2019'!AQ$95:AQ$274),),ROW(A62))-94),"")</f>
        <v/>
      </c>
      <c r="I72" s="226"/>
      <c r="J72" s="227" t="str">
        <f t="shared" si="1"/>
        <v/>
      </c>
      <c r="K72" s="232"/>
      <c r="L72" s="233"/>
      <c r="Q72" s="254"/>
    </row>
    <row r="73" spans="2:17" hidden="1" x14ac:dyDescent="0.4">
      <c r="B73" s="221"/>
      <c r="C73" s="255" t="str">
        <f>IFERROR(INDEX('Total-T7.2019'!B$95:B$274,1/LARGE(INDEX(('Total-T7.2019'!AQ$95:AQ$274=N$11)*('Total-T7.2019'!AP$95:AP$274&lt;0)/ROW('Total-T7.2019'!AQ$95:AQ$274),),ROW(A63))-94),"")</f>
        <v/>
      </c>
      <c r="D73" s="222" t="str">
        <f t="shared" si="2"/>
        <v/>
      </c>
      <c r="E73" s="223" t="str">
        <f>IFERROR(INDEX('Total-T7.2019'!C$95:C$274,1/LARGE(INDEX(('Total-T7.2019'!AQ$95:AQ$274=N$11)*('Total-T7.2019'!AP$95:AP$274&lt;0)/ROW('Total-T7.2019'!AQ$95:AQ$274),),ROW(A63))-94),"")</f>
        <v/>
      </c>
      <c r="F73" s="235"/>
      <c r="G73" s="224" t="str">
        <f>IFERROR(INDEX('Total-T7.2019'!AP$95:AP$274,1/LARGE(INDEX(('Total-T7.2019'!AQ$95:AQ$274=N$11)*('Total-T7.2019'!AP$95:AP$274&lt;0)/ROW('Total-T7.2019'!AQ$95:AQ$274),),ROW(A63))-94),"")</f>
        <v/>
      </c>
      <c r="H73" s="225" t="str">
        <f>IFERROR(INDEX('Total-T7.2019'!AK$95:AK$274,1/LARGE(INDEX(('Total-T7.2019'!AQ$95:AQ$274=N$11)*('Total-T7.2019'!AP$95:AP$274&lt;0)/ROW('Total-T7.2019'!AQ$95:AQ$274),),ROW(A63))-94),"")</f>
        <v/>
      </c>
      <c r="I73" s="226"/>
      <c r="J73" s="227" t="str">
        <f t="shared" si="1"/>
        <v/>
      </c>
      <c r="K73" s="232"/>
      <c r="L73" s="233"/>
      <c r="Q73" s="254"/>
    </row>
    <row r="74" spans="2:17" hidden="1" x14ac:dyDescent="0.4">
      <c r="B74" s="221"/>
      <c r="C74" s="255" t="str">
        <f>IFERROR(INDEX('Total-T7.2019'!B$95:B$274,1/LARGE(INDEX(('Total-T7.2019'!AQ$95:AQ$274=N$11)*('Total-T7.2019'!AP$95:AP$274&lt;0)/ROW('Total-T7.2019'!AQ$95:AQ$274),),ROW(A64))-94),"")</f>
        <v/>
      </c>
      <c r="D74" s="222" t="str">
        <f t="shared" si="2"/>
        <v/>
      </c>
      <c r="E74" s="223" t="str">
        <f>IFERROR(INDEX('Total-T7.2019'!C$95:C$274,1/LARGE(INDEX(('Total-T7.2019'!AQ$95:AQ$274=N$11)*('Total-T7.2019'!AP$95:AP$274&lt;0)/ROW('Total-T7.2019'!AQ$95:AQ$274),),ROW(A64))-94),"")</f>
        <v/>
      </c>
      <c r="F74" s="235"/>
      <c r="G74" s="224" t="str">
        <f>IFERROR(INDEX('Total-T7.2019'!AP$95:AP$274,1/LARGE(INDEX(('Total-T7.2019'!AQ$95:AQ$274=N$11)*('Total-T7.2019'!AP$95:AP$274&lt;0)/ROW('Total-T7.2019'!AQ$95:AQ$274),),ROW(A64))-94),"")</f>
        <v/>
      </c>
      <c r="H74" s="225" t="str">
        <f>IFERROR(INDEX('Total-T7.2019'!AK$95:AK$274,1/LARGE(INDEX(('Total-T7.2019'!AQ$95:AQ$274=N$11)*('Total-T7.2019'!AP$95:AP$274&lt;0)/ROW('Total-T7.2019'!AQ$95:AQ$274),),ROW(A64))-94),"")</f>
        <v/>
      </c>
      <c r="I74" s="226"/>
      <c r="J74" s="227" t="str">
        <f t="shared" si="1"/>
        <v/>
      </c>
      <c r="K74" s="232"/>
      <c r="L74" s="233"/>
      <c r="Q74" s="254"/>
    </row>
    <row r="75" spans="2:17" hidden="1" x14ac:dyDescent="0.4">
      <c r="B75" s="221"/>
      <c r="C75" s="255" t="str">
        <f>IFERROR(INDEX('Total-T7.2019'!B$95:B$274,1/LARGE(INDEX(('Total-T7.2019'!AQ$95:AQ$274=N$11)*('Total-T7.2019'!AP$95:AP$274&lt;0)/ROW('Total-T7.2019'!AQ$95:AQ$274),),ROW(A65))-94),"")</f>
        <v/>
      </c>
      <c r="D75" s="222" t="str">
        <f t="shared" ref="D75:D106" si="3">D225</f>
        <v/>
      </c>
      <c r="E75" s="223" t="str">
        <f>IFERROR(INDEX('Total-T7.2019'!C$95:C$274,1/LARGE(INDEX(('Total-T7.2019'!AQ$95:AQ$274=N$11)*('Total-T7.2019'!AP$95:AP$274&lt;0)/ROW('Total-T7.2019'!AQ$95:AQ$274),),ROW(A65))-94),"")</f>
        <v/>
      </c>
      <c r="F75" s="235"/>
      <c r="G75" s="224" t="str">
        <f>IFERROR(INDEX('Total-T7.2019'!AP$95:AP$274,1/LARGE(INDEX(('Total-T7.2019'!AQ$95:AQ$274=N$11)*('Total-T7.2019'!AP$95:AP$274&lt;0)/ROW('Total-T7.2019'!AQ$95:AQ$274),),ROW(A65))-94),"")</f>
        <v/>
      </c>
      <c r="H75" s="225" t="str">
        <f>IFERROR(INDEX('Total-T7.2019'!AK$95:AK$274,1/LARGE(INDEX(('Total-T7.2019'!AQ$95:AQ$274=N$11)*('Total-T7.2019'!AP$95:AP$274&lt;0)/ROW('Total-T7.2019'!AQ$95:AQ$274),),ROW(A65))-94),"")</f>
        <v/>
      </c>
      <c r="I75" s="226"/>
      <c r="J75" s="227" t="str">
        <f t="shared" si="1"/>
        <v/>
      </c>
      <c r="K75" s="232"/>
      <c r="L75" s="233"/>
      <c r="Q75" s="254"/>
    </row>
    <row r="76" spans="2:17" hidden="1" x14ac:dyDescent="0.4">
      <c r="B76" s="221"/>
      <c r="C76" s="255" t="str">
        <f>IFERROR(INDEX('Total-T7.2019'!B$95:B$274,1/LARGE(INDEX(('Total-T7.2019'!AQ$95:AQ$274=N$11)*('Total-T7.2019'!AP$95:AP$274&lt;0)/ROW('Total-T7.2019'!AQ$95:AQ$274),),ROW(A66))-94),"")</f>
        <v/>
      </c>
      <c r="D76" s="222" t="str">
        <f t="shared" si="3"/>
        <v/>
      </c>
      <c r="E76" s="223" t="str">
        <f>IFERROR(INDEX('Total-T7.2019'!C$95:C$274,1/LARGE(INDEX(('Total-T7.2019'!AQ$95:AQ$274=N$11)*('Total-T7.2019'!AP$95:AP$274&lt;0)/ROW('Total-T7.2019'!AQ$95:AQ$274),),ROW(A66))-94),"")</f>
        <v/>
      </c>
      <c r="F76" s="235"/>
      <c r="G76" s="224" t="str">
        <f>IFERROR(INDEX('Total-T7.2019'!AP$95:AP$274,1/LARGE(INDEX(('Total-T7.2019'!AQ$95:AQ$274=N$11)*('Total-T7.2019'!AP$95:AP$274&lt;0)/ROW('Total-T7.2019'!AQ$95:AQ$274),),ROW(A66))-94),"")</f>
        <v/>
      </c>
      <c r="H76" s="225" t="str">
        <f>IFERROR(INDEX('Total-T7.2019'!AK$95:AK$274,1/LARGE(INDEX(('Total-T7.2019'!AQ$95:AQ$274=N$11)*('Total-T7.2019'!AP$95:AP$274&lt;0)/ROW('Total-T7.2019'!AQ$95:AQ$274),),ROW(A66))-94),"")</f>
        <v/>
      </c>
      <c r="I76" s="226"/>
      <c r="J76" s="227" t="str">
        <f t="shared" ref="J76:J99" si="4">IFERROR(G76*I76,"")</f>
        <v/>
      </c>
      <c r="K76" s="232"/>
      <c r="L76" s="233"/>
      <c r="Q76" s="254"/>
    </row>
    <row r="77" spans="2:17" hidden="1" x14ac:dyDescent="0.4">
      <c r="B77" s="221"/>
      <c r="C77" s="255" t="str">
        <f>IFERROR(INDEX('Total-T7.2019'!B$95:B$274,1/LARGE(INDEX(('Total-T7.2019'!AQ$95:AQ$274=N$11)*('Total-T7.2019'!AP$95:AP$274&lt;0)/ROW('Total-T7.2019'!AQ$95:AQ$274),),ROW(A67))-94),"")</f>
        <v/>
      </c>
      <c r="D77" s="222" t="str">
        <f t="shared" si="3"/>
        <v/>
      </c>
      <c r="E77" s="223" t="str">
        <f>IFERROR(INDEX('Total-T7.2019'!C$95:C$274,1/LARGE(INDEX(('Total-T7.2019'!AQ$95:AQ$274=N$11)*('Total-T7.2019'!AP$95:AP$274&lt;0)/ROW('Total-T7.2019'!AQ$95:AQ$274),),ROW(A67))-94),"")</f>
        <v/>
      </c>
      <c r="F77" s="235"/>
      <c r="G77" s="224" t="str">
        <f>IFERROR(INDEX('Total-T7.2019'!AP$95:AP$274,1/LARGE(INDEX(('Total-T7.2019'!AQ$95:AQ$274=N$11)*('Total-T7.2019'!AP$95:AP$274&lt;0)/ROW('Total-T7.2019'!AQ$95:AQ$274),),ROW(A67))-94),"")</f>
        <v/>
      </c>
      <c r="H77" s="225" t="str">
        <f>IFERROR(INDEX('Total-T7.2019'!AK$95:AK$274,1/LARGE(INDEX(('Total-T7.2019'!AQ$95:AQ$274=N$11)*('Total-T7.2019'!AP$95:AP$274&lt;0)/ROW('Total-T7.2019'!AQ$95:AQ$274),),ROW(A67))-94),"")</f>
        <v/>
      </c>
      <c r="I77" s="226"/>
      <c r="J77" s="227" t="str">
        <f t="shared" si="4"/>
        <v/>
      </c>
      <c r="K77" s="232"/>
      <c r="L77" s="233"/>
      <c r="Q77" s="254"/>
    </row>
    <row r="78" spans="2:17" hidden="1" x14ac:dyDescent="0.4">
      <c r="B78" s="221"/>
      <c r="C78" s="255" t="str">
        <f>IFERROR(INDEX('Total-T7.2019'!B$95:B$274,1/LARGE(INDEX(('Total-T7.2019'!AQ$95:AQ$274=N$11)*('Total-T7.2019'!AP$95:AP$274&lt;0)/ROW('Total-T7.2019'!AQ$95:AQ$274),),ROW(A68))-94),"")</f>
        <v/>
      </c>
      <c r="D78" s="222" t="str">
        <f t="shared" si="3"/>
        <v/>
      </c>
      <c r="E78" s="223" t="str">
        <f>IFERROR(INDEX('Total-T7.2019'!C$95:C$274,1/LARGE(INDEX(('Total-T7.2019'!AQ$95:AQ$274=N$11)*('Total-T7.2019'!AP$95:AP$274&lt;0)/ROW('Total-T7.2019'!AQ$95:AQ$274),),ROW(A68))-94),"")</f>
        <v/>
      </c>
      <c r="F78" s="235"/>
      <c r="G78" s="224" t="str">
        <f>IFERROR(INDEX('Total-T7.2019'!AP$95:AP$274,1/LARGE(INDEX(('Total-T7.2019'!AQ$95:AQ$274=N$11)*('Total-T7.2019'!AP$95:AP$274&lt;0)/ROW('Total-T7.2019'!AQ$95:AQ$274),),ROW(A68))-94),"")</f>
        <v/>
      </c>
      <c r="H78" s="225" t="str">
        <f>IFERROR(INDEX('Total-T7.2019'!AK$95:AK$274,1/LARGE(INDEX(('Total-T7.2019'!AQ$95:AQ$274=N$11)*('Total-T7.2019'!AP$95:AP$274&lt;0)/ROW('Total-T7.2019'!AQ$95:AQ$274),),ROW(A68))-94),"")</f>
        <v/>
      </c>
      <c r="I78" s="226"/>
      <c r="J78" s="227" t="str">
        <f t="shared" si="4"/>
        <v/>
      </c>
      <c r="K78" s="232"/>
      <c r="L78" s="233"/>
      <c r="Q78" s="254"/>
    </row>
    <row r="79" spans="2:17" hidden="1" x14ac:dyDescent="0.4">
      <c r="B79" s="221"/>
      <c r="C79" s="255" t="str">
        <f>IFERROR(INDEX('Total-T7.2019'!B$95:B$274,1/LARGE(INDEX(('Total-T7.2019'!AQ$95:AQ$274=N$11)*('Total-T7.2019'!AP$95:AP$274&lt;0)/ROW('Total-T7.2019'!AQ$95:AQ$274),),ROW(A69))-94),"")</f>
        <v/>
      </c>
      <c r="D79" s="222" t="str">
        <f t="shared" si="3"/>
        <v/>
      </c>
      <c r="E79" s="223" t="str">
        <f>IFERROR(INDEX('Total-T7.2019'!C$95:C$274,1/LARGE(INDEX(('Total-T7.2019'!AQ$95:AQ$274=N$11)*('Total-T7.2019'!AP$95:AP$274&lt;0)/ROW('Total-T7.2019'!AQ$95:AQ$274),),ROW(A69))-94),"")</f>
        <v/>
      </c>
      <c r="F79" s="235"/>
      <c r="G79" s="224" t="str">
        <f>IFERROR(INDEX('Total-T7.2019'!AP$95:AP$274,1/LARGE(INDEX(('Total-T7.2019'!AQ$95:AQ$274=N$11)*('Total-T7.2019'!AP$95:AP$274&lt;0)/ROW('Total-T7.2019'!AQ$95:AQ$274),),ROW(A69))-94),"")</f>
        <v/>
      </c>
      <c r="H79" s="225" t="str">
        <f>IFERROR(INDEX('Total-T7.2019'!AK$95:AK$274,1/LARGE(INDEX(('Total-T7.2019'!AQ$95:AQ$274=N$11)*('Total-T7.2019'!AP$95:AP$274&lt;0)/ROW('Total-T7.2019'!AQ$95:AQ$274),),ROW(A69))-94),"")</f>
        <v/>
      </c>
      <c r="I79" s="226"/>
      <c r="J79" s="227" t="str">
        <f t="shared" si="4"/>
        <v/>
      </c>
      <c r="K79" s="232"/>
      <c r="L79" s="233"/>
      <c r="Q79" s="254"/>
    </row>
    <row r="80" spans="2:17" hidden="1" x14ac:dyDescent="0.4">
      <c r="B80" s="221"/>
      <c r="C80" s="255" t="str">
        <f>IFERROR(INDEX('Total-T7.2019'!B$95:B$274,1/LARGE(INDEX(('Total-T7.2019'!AQ$95:AQ$274=N$11)*('Total-T7.2019'!AP$95:AP$274&lt;0)/ROW('Total-T7.2019'!AQ$95:AQ$274),),ROW(A70))-94),"")</f>
        <v/>
      </c>
      <c r="D80" s="222" t="str">
        <f t="shared" si="3"/>
        <v/>
      </c>
      <c r="E80" s="223" t="str">
        <f>IFERROR(INDEX('Total-T7.2019'!C$95:C$274,1/LARGE(INDEX(('Total-T7.2019'!AQ$95:AQ$274=N$11)*('Total-T7.2019'!AP$95:AP$274&lt;0)/ROW('Total-T7.2019'!AQ$95:AQ$274),),ROW(A70))-94),"")</f>
        <v/>
      </c>
      <c r="F80" s="235"/>
      <c r="G80" s="224" t="str">
        <f>IFERROR(INDEX('Total-T7.2019'!AP$95:AP$274,1/LARGE(INDEX(('Total-T7.2019'!AQ$95:AQ$274=N$11)*('Total-T7.2019'!AP$95:AP$274&lt;0)/ROW('Total-T7.2019'!AQ$95:AQ$274),),ROW(A70))-94),"")</f>
        <v/>
      </c>
      <c r="H80" s="225" t="str">
        <f>IFERROR(INDEX('Total-T7.2019'!AK$95:AK$274,1/LARGE(INDEX(('Total-T7.2019'!AQ$95:AQ$274=N$11)*('Total-T7.2019'!AP$95:AP$274&lt;0)/ROW('Total-T7.2019'!AQ$95:AQ$274),),ROW(A70))-94),"")</f>
        <v/>
      </c>
      <c r="I80" s="226"/>
      <c r="J80" s="227" t="str">
        <f t="shared" si="4"/>
        <v/>
      </c>
      <c r="K80" s="232"/>
      <c r="L80" s="233"/>
      <c r="Q80" s="254"/>
    </row>
    <row r="81" spans="2:17" hidden="1" x14ac:dyDescent="0.4">
      <c r="B81" s="221"/>
      <c r="C81" s="255" t="str">
        <f>IFERROR(INDEX('Total-T7.2019'!B$95:B$274,1/LARGE(INDEX(('Total-T7.2019'!AQ$95:AQ$274=N$11)*('Total-T7.2019'!AP$95:AP$274&lt;0)/ROW('Total-T7.2019'!AQ$95:AQ$274),),ROW(A71))-94),"")</f>
        <v/>
      </c>
      <c r="D81" s="222" t="str">
        <f t="shared" si="3"/>
        <v/>
      </c>
      <c r="E81" s="223" t="str">
        <f>IFERROR(INDEX('Total-T7.2019'!C$95:C$274,1/LARGE(INDEX(('Total-T7.2019'!AQ$95:AQ$274=N$11)*('Total-T7.2019'!AP$95:AP$274&lt;0)/ROW('Total-T7.2019'!AQ$95:AQ$274),),ROW(A71))-94),"")</f>
        <v/>
      </c>
      <c r="F81" s="235"/>
      <c r="G81" s="224" t="str">
        <f>IFERROR(INDEX('Total-T7.2019'!AP$95:AP$274,1/LARGE(INDEX(('Total-T7.2019'!AQ$95:AQ$274=N$11)*('Total-T7.2019'!AP$95:AP$274&lt;0)/ROW('Total-T7.2019'!AQ$95:AQ$274),),ROW(A71))-94),"")</f>
        <v/>
      </c>
      <c r="H81" s="225" t="str">
        <f>IFERROR(INDEX('Total-T7.2019'!AK$95:AK$274,1/LARGE(INDEX(('Total-T7.2019'!AQ$95:AQ$274=N$11)*('Total-T7.2019'!AP$95:AP$274&lt;0)/ROW('Total-T7.2019'!AQ$95:AQ$274),),ROW(A71))-94),"")</f>
        <v/>
      </c>
      <c r="I81" s="226"/>
      <c r="J81" s="227" t="str">
        <f t="shared" si="4"/>
        <v/>
      </c>
      <c r="K81" s="232"/>
      <c r="L81" s="233"/>
      <c r="Q81" s="254"/>
    </row>
    <row r="82" spans="2:17" hidden="1" x14ac:dyDescent="0.4">
      <c r="B82" s="221"/>
      <c r="C82" s="255" t="str">
        <f>IFERROR(INDEX('Total-T7.2019'!B$95:B$274,1/LARGE(INDEX(('Total-T7.2019'!AQ$95:AQ$274=N$11)*('Total-T7.2019'!AP$95:AP$274&lt;0)/ROW('Total-T7.2019'!AQ$95:AQ$274),),ROW(A72))-94),"")</f>
        <v/>
      </c>
      <c r="D82" s="222" t="str">
        <f t="shared" si="3"/>
        <v/>
      </c>
      <c r="E82" s="223" t="str">
        <f>IFERROR(INDEX('Total-T7.2019'!C$95:C$274,1/LARGE(INDEX(('Total-T7.2019'!AQ$95:AQ$274=N$11)*('Total-T7.2019'!AP$95:AP$274&lt;0)/ROW('Total-T7.2019'!AQ$95:AQ$274),),ROW(A72))-94),"")</f>
        <v/>
      </c>
      <c r="F82" s="235"/>
      <c r="G82" s="224" t="str">
        <f>IFERROR(INDEX('Total-T7.2019'!AP$95:AP$274,1/LARGE(INDEX(('Total-T7.2019'!AQ$95:AQ$274=N$11)*('Total-T7.2019'!AP$95:AP$274&lt;0)/ROW('Total-T7.2019'!AQ$95:AQ$274),),ROW(A72))-94),"")</f>
        <v/>
      </c>
      <c r="H82" s="225" t="str">
        <f>IFERROR(INDEX('Total-T7.2019'!AK$95:AK$274,1/LARGE(INDEX(('Total-T7.2019'!AQ$95:AQ$274=N$11)*('Total-T7.2019'!AP$95:AP$274&lt;0)/ROW('Total-T7.2019'!AQ$95:AQ$274),),ROW(A72))-94),"")</f>
        <v/>
      </c>
      <c r="I82" s="226"/>
      <c r="J82" s="227" t="str">
        <f t="shared" si="4"/>
        <v/>
      </c>
      <c r="K82" s="232"/>
      <c r="L82" s="233"/>
      <c r="Q82" s="254"/>
    </row>
    <row r="83" spans="2:17" hidden="1" x14ac:dyDescent="0.4">
      <c r="B83" s="221"/>
      <c r="C83" s="255" t="str">
        <f>IFERROR(INDEX('Total-T7.2019'!B$95:B$274,1/LARGE(INDEX(('Total-T7.2019'!AQ$95:AQ$274=N$11)*('Total-T7.2019'!AP$95:AP$274&lt;0)/ROW('Total-T7.2019'!AQ$95:AQ$274),),ROW(A73))-94),"")</f>
        <v/>
      </c>
      <c r="D83" s="222" t="str">
        <f t="shared" si="3"/>
        <v/>
      </c>
      <c r="E83" s="223" t="str">
        <f>IFERROR(INDEX('Total-T7.2019'!C$95:C$274,1/LARGE(INDEX(('Total-T7.2019'!AQ$95:AQ$274=N$11)*('Total-T7.2019'!AP$95:AP$274&lt;0)/ROW('Total-T7.2019'!AQ$95:AQ$274),),ROW(A73))-94),"")</f>
        <v/>
      </c>
      <c r="F83" s="235"/>
      <c r="G83" s="224" t="str">
        <f>IFERROR(INDEX('Total-T7.2019'!AP$95:AP$274,1/LARGE(INDEX(('Total-T7.2019'!AQ$95:AQ$274=N$11)*('Total-T7.2019'!AP$95:AP$274&lt;0)/ROW('Total-T7.2019'!AQ$95:AQ$274),),ROW(A73))-94),"")</f>
        <v/>
      </c>
      <c r="H83" s="225" t="str">
        <f>IFERROR(INDEX('Total-T7.2019'!AK$95:AK$274,1/LARGE(INDEX(('Total-T7.2019'!AQ$95:AQ$274=N$11)*('Total-T7.2019'!AP$95:AP$274&lt;0)/ROW('Total-T7.2019'!AQ$95:AQ$274),),ROW(A73))-94),"")</f>
        <v/>
      </c>
      <c r="I83" s="226"/>
      <c r="J83" s="227" t="str">
        <f t="shared" si="4"/>
        <v/>
      </c>
      <c r="K83" s="232"/>
      <c r="L83" s="233"/>
      <c r="Q83" s="254"/>
    </row>
    <row r="84" spans="2:17" hidden="1" x14ac:dyDescent="0.4">
      <c r="B84" s="221"/>
      <c r="C84" s="255" t="str">
        <f>IFERROR(INDEX('Total-T7.2019'!B$95:B$274,1/LARGE(INDEX(('Total-T7.2019'!AQ$95:AQ$274=N$11)*('Total-T7.2019'!AP$95:AP$274&lt;0)/ROW('Total-T7.2019'!AQ$95:AQ$274),),ROW(A74))-94),"")</f>
        <v/>
      </c>
      <c r="D84" s="222" t="str">
        <f t="shared" si="3"/>
        <v/>
      </c>
      <c r="E84" s="223" t="str">
        <f>IFERROR(INDEX('Total-T7.2019'!C$95:C$274,1/LARGE(INDEX(('Total-T7.2019'!AQ$95:AQ$274=N$11)*('Total-T7.2019'!AP$95:AP$274&lt;0)/ROW('Total-T7.2019'!AQ$95:AQ$274),),ROW(A74))-94),"")</f>
        <v/>
      </c>
      <c r="F84" s="235"/>
      <c r="G84" s="224" t="str">
        <f>IFERROR(INDEX('Total-T7.2019'!AP$95:AP$274,1/LARGE(INDEX(('Total-T7.2019'!AQ$95:AQ$274=N$11)*('Total-T7.2019'!AP$95:AP$274&lt;0)/ROW('Total-T7.2019'!AQ$95:AQ$274),),ROW(A74))-94),"")</f>
        <v/>
      </c>
      <c r="H84" s="225" t="str">
        <f>IFERROR(INDEX('Total-T7.2019'!AK$95:AK$274,1/LARGE(INDEX(('Total-T7.2019'!AQ$95:AQ$274=N$11)*('Total-T7.2019'!AP$95:AP$274&lt;0)/ROW('Total-T7.2019'!AQ$95:AQ$274),),ROW(A74))-94),"")</f>
        <v/>
      </c>
      <c r="I84" s="226"/>
      <c r="J84" s="227" t="str">
        <f t="shared" si="4"/>
        <v/>
      </c>
      <c r="K84" s="232"/>
      <c r="L84" s="233"/>
      <c r="Q84" s="254"/>
    </row>
    <row r="85" spans="2:17" hidden="1" x14ac:dyDescent="0.4">
      <c r="B85" s="221"/>
      <c r="C85" s="255" t="str">
        <f>IFERROR(INDEX('Total-T7.2019'!B$95:B$274,1/LARGE(INDEX(('Total-T7.2019'!AQ$95:AQ$274=N$11)*('Total-T7.2019'!AP$95:AP$274&lt;0)/ROW('Total-T7.2019'!AQ$95:AQ$274),),ROW(A75))-94),"")</f>
        <v/>
      </c>
      <c r="D85" s="222" t="str">
        <f t="shared" si="3"/>
        <v/>
      </c>
      <c r="E85" s="223" t="str">
        <f>IFERROR(INDEX('Total-T7.2019'!C$95:C$274,1/LARGE(INDEX(('Total-T7.2019'!AQ$95:AQ$274=N$11)*('Total-T7.2019'!AP$95:AP$274&lt;0)/ROW('Total-T7.2019'!AQ$95:AQ$274),),ROW(A75))-94),"")</f>
        <v/>
      </c>
      <c r="F85" s="235"/>
      <c r="G85" s="224" t="str">
        <f>IFERROR(INDEX('Total-T7.2019'!AP$95:AP$274,1/LARGE(INDEX(('Total-T7.2019'!AQ$95:AQ$274=N$11)*('Total-T7.2019'!AP$95:AP$274&lt;0)/ROW('Total-T7.2019'!AQ$95:AQ$274),),ROW(A75))-94),"")</f>
        <v/>
      </c>
      <c r="H85" s="225" t="str">
        <f>IFERROR(INDEX('Total-T7.2019'!AK$95:AK$274,1/LARGE(INDEX(('Total-T7.2019'!AQ$95:AQ$274=N$11)*('Total-T7.2019'!AP$95:AP$274&lt;0)/ROW('Total-T7.2019'!AQ$95:AQ$274),),ROW(A75))-94),"")</f>
        <v/>
      </c>
      <c r="I85" s="226"/>
      <c r="J85" s="227" t="str">
        <f t="shared" si="4"/>
        <v/>
      </c>
      <c r="K85" s="232"/>
      <c r="L85" s="233"/>
      <c r="Q85" s="254"/>
    </row>
    <row r="86" spans="2:17" hidden="1" x14ac:dyDescent="0.4">
      <c r="B86" s="221"/>
      <c r="C86" s="255" t="str">
        <f>IFERROR(INDEX('Total-T7.2019'!B$95:B$274,1/LARGE(INDEX(('Total-T7.2019'!AQ$95:AQ$274=N$11)*('Total-T7.2019'!AP$95:AP$274&lt;0)/ROW('Total-T7.2019'!AQ$95:AQ$274),),ROW(A76))-94),"")</f>
        <v/>
      </c>
      <c r="D86" s="222" t="str">
        <f t="shared" si="3"/>
        <v/>
      </c>
      <c r="E86" s="223" t="str">
        <f>IFERROR(INDEX('Total-T7.2019'!C$95:C$274,1/LARGE(INDEX(('Total-T7.2019'!AQ$95:AQ$274=N$11)*('Total-T7.2019'!AP$95:AP$274&lt;0)/ROW('Total-T7.2019'!AQ$95:AQ$274),),ROW(A76))-94),"")</f>
        <v/>
      </c>
      <c r="F86" s="235"/>
      <c r="G86" s="224" t="str">
        <f>IFERROR(INDEX('Total-T7.2019'!AP$95:AP$274,1/LARGE(INDEX(('Total-T7.2019'!AQ$95:AQ$274=N$11)*('Total-T7.2019'!AP$95:AP$274&lt;0)/ROW('Total-T7.2019'!AQ$95:AQ$274),),ROW(A76))-94),"")</f>
        <v/>
      </c>
      <c r="H86" s="225" t="str">
        <f>IFERROR(INDEX('Total-T7.2019'!AK$95:AK$274,1/LARGE(INDEX(('Total-T7.2019'!AQ$95:AQ$274=N$11)*('Total-T7.2019'!AP$95:AP$274&lt;0)/ROW('Total-T7.2019'!AQ$95:AQ$274),),ROW(A76))-94),"")</f>
        <v/>
      </c>
      <c r="I86" s="226"/>
      <c r="J86" s="227" t="str">
        <f t="shared" si="4"/>
        <v/>
      </c>
      <c r="K86" s="232"/>
      <c r="L86" s="233"/>
      <c r="Q86" s="254"/>
    </row>
    <row r="87" spans="2:17" hidden="1" x14ac:dyDescent="0.4">
      <c r="B87" s="221"/>
      <c r="C87" s="255" t="str">
        <f>IFERROR(INDEX('Total-T7.2019'!B$95:B$274,1/LARGE(INDEX(('Total-T7.2019'!AQ$95:AQ$274=N$11)*('Total-T7.2019'!AP$95:AP$274&lt;0)/ROW('Total-T7.2019'!AQ$95:AQ$274),),ROW(A77))-94),"")</f>
        <v/>
      </c>
      <c r="D87" s="222" t="str">
        <f t="shared" si="3"/>
        <v/>
      </c>
      <c r="E87" s="223" t="str">
        <f>IFERROR(INDEX('Total-T7.2019'!C$95:C$274,1/LARGE(INDEX(('Total-T7.2019'!AQ$95:AQ$274=N$11)*('Total-T7.2019'!AP$95:AP$274&lt;0)/ROW('Total-T7.2019'!AQ$95:AQ$274),),ROW(A77))-94),"")</f>
        <v/>
      </c>
      <c r="F87" s="235"/>
      <c r="G87" s="224" t="str">
        <f>IFERROR(INDEX('Total-T7.2019'!AP$95:AP$274,1/LARGE(INDEX(('Total-T7.2019'!AQ$95:AQ$274=N$11)*('Total-T7.2019'!AP$95:AP$274&lt;0)/ROW('Total-T7.2019'!AQ$95:AQ$274),),ROW(A77))-94),"")</f>
        <v/>
      </c>
      <c r="H87" s="225" t="str">
        <f>IFERROR(INDEX('Total-T7.2019'!AK$95:AK$274,1/LARGE(INDEX(('Total-T7.2019'!AQ$95:AQ$274=N$11)*('Total-T7.2019'!AP$95:AP$274&lt;0)/ROW('Total-T7.2019'!AQ$95:AQ$274),),ROW(A77))-94),"")</f>
        <v/>
      </c>
      <c r="I87" s="226"/>
      <c r="J87" s="227" t="str">
        <f t="shared" si="4"/>
        <v/>
      </c>
      <c r="K87" s="232"/>
      <c r="L87" s="233"/>
      <c r="Q87" s="254"/>
    </row>
    <row r="88" spans="2:17" hidden="1" x14ac:dyDescent="0.4">
      <c r="B88" s="221"/>
      <c r="C88" s="255" t="str">
        <f>IFERROR(INDEX('Total-T7.2019'!B$95:B$274,1/LARGE(INDEX(('Total-T7.2019'!AQ$95:AQ$274=N$11)*('Total-T7.2019'!AP$95:AP$274&lt;0)/ROW('Total-T7.2019'!AQ$95:AQ$274),),ROW(A78))-94),"")</f>
        <v/>
      </c>
      <c r="D88" s="222" t="str">
        <f t="shared" si="3"/>
        <v/>
      </c>
      <c r="E88" s="223" t="str">
        <f>IFERROR(INDEX('Total-T7.2019'!C$95:C$274,1/LARGE(INDEX(('Total-T7.2019'!AQ$95:AQ$274=N$11)*('Total-T7.2019'!AP$95:AP$274&lt;0)/ROW('Total-T7.2019'!AQ$95:AQ$274),),ROW(A78))-94),"")</f>
        <v/>
      </c>
      <c r="F88" s="235"/>
      <c r="G88" s="224" t="str">
        <f>IFERROR(INDEX('Total-T7.2019'!AP$95:AP$274,1/LARGE(INDEX(('Total-T7.2019'!AQ$95:AQ$274=N$11)*('Total-T7.2019'!AP$95:AP$274&lt;0)/ROW('Total-T7.2019'!AQ$95:AQ$274),),ROW(A78))-94),"")</f>
        <v/>
      </c>
      <c r="H88" s="225" t="str">
        <f>IFERROR(INDEX('Total-T7.2019'!AK$95:AK$274,1/LARGE(INDEX(('Total-T7.2019'!AQ$95:AQ$274=N$11)*('Total-T7.2019'!AP$95:AP$274&lt;0)/ROW('Total-T7.2019'!AQ$95:AQ$274),),ROW(A78))-94),"")</f>
        <v/>
      </c>
      <c r="I88" s="226"/>
      <c r="J88" s="227" t="str">
        <f t="shared" si="4"/>
        <v/>
      </c>
      <c r="K88" s="232"/>
      <c r="L88" s="233"/>
      <c r="Q88" s="254"/>
    </row>
    <row r="89" spans="2:17" hidden="1" x14ac:dyDescent="0.4">
      <c r="B89" s="221"/>
      <c r="C89" s="255" t="str">
        <f>IFERROR(INDEX('Total-T7.2019'!B$95:B$274,1/LARGE(INDEX(('Total-T7.2019'!AQ$95:AQ$274=N$11)*('Total-T7.2019'!AP$95:AP$274&lt;0)/ROW('Total-T7.2019'!AQ$95:AQ$274),),ROW(A79))-94),"")</f>
        <v/>
      </c>
      <c r="D89" s="222" t="str">
        <f t="shared" si="3"/>
        <v/>
      </c>
      <c r="E89" s="223" t="str">
        <f>IFERROR(INDEX('Total-T7.2019'!C$95:C$274,1/LARGE(INDEX(('Total-T7.2019'!AQ$95:AQ$274=N$11)*('Total-T7.2019'!AP$95:AP$274&lt;0)/ROW('Total-T7.2019'!AQ$95:AQ$274),),ROW(A79))-94),"")</f>
        <v/>
      </c>
      <c r="F89" s="235"/>
      <c r="G89" s="224" t="str">
        <f>IFERROR(INDEX('Total-T7.2019'!AP$95:AP$274,1/LARGE(INDEX(('Total-T7.2019'!AQ$95:AQ$274=N$11)*('Total-T7.2019'!AP$95:AP$274&lt;0)/ROW('Total-T7.2019'!AQ$95:AQ$274),),ROW(A79))-94),"")</f>
        <v/>
      </c>
      <c r="H89" s="225" t="str">
        <f>IFERROR(INDEX('Total-T7.2019'!AK$95:AK$274,1/LARGE(INDEX(('Total-T7.2019'!AQ$95:AQ$274=N$11)*('Total-T7.2019'!AP$95:AP$274&lt;0)/ROW('Total-T7.2019'!AQ$95:AQ$274),),ROW(A79))-94),"")</f>
        <v/>
      </c>
      <c r="I89" s="226"/>
      <c r="J89" s="227" t="str">
        <f t="shared" si="4"/>
        <v/>
      </c>
      <c r="K89" s="232"/>
      <c r="L89" s="233"/>
      <c r="Q89" s="254"/>
    </row>
    <row r="90" spans="2:17" hidden="1" x14ac:dyDescent="0.4">
      <c r="B90" s="221"/>
      <c r="C90" s="255" t="str">
        <f>IFERROR(INDEX('Total-T7.2019'!B$95:B$274,1/LARGE(INDEX(('Total-T7.2019'!AQ$95:AQ$274=N$11)*('Total-T7.2019'!AP$95:AP$274&lt;0)/ROW('Total-T7.2019'!AQ$95:AQ$274),),ROW(A80))-94),"")</f>
        <v/>
      </c>
      <c r="D90" s="222" t="str">
        <f t="shared" si="3"/>
        <v/>
      </c>
      <c r="E90" s="223" t="str">
        <f>IFERROR(INDEX('Total-T7.2019'!C$95:C$274,1/LARGE(INDEX(('Total-T7.2019'!AQ$95:AQ$274=N$11)*('Total-T7.2019'!AP$95:AP$274&lt;0)/ROW('Total-T7.2019'!AQ$95:AQ$274),),ROW(A80))-94),"")</f>
        <v/>
      </c>
      <c r="F90" s="235"/>
      <c r="G90" s="224" t="str">
        <f>IFERROR(INDEX('Total-T7.2019'!AP$95:AP$274,1/LARGE(INDEX(('Total-T7.2019'!AQ$95:AQ$274=N$11)*('Total-T7.2019'!AP$95:AP$274&lt;0)/ROW('Total-T7.2019'!AQ$95:AQ$274),),ROW(A80))-94),"")</f>
        <v/>
      </c>
      <c r="H90" s="225" t="str">
        <f>IFERROR(INDEX('Total-T7.2019'!AK$95:AK$274,1/LARGE(INDEX(('Total-T7.2019'!AQ$95:AQ$274=N$11)*('Total-T7.2019'!AP$95:AP$274&lt;0)/ROW('Total-T7.2019'!AQ$95:AQ$274),),ROW(A80))-94),"")</f>
        <v/>
      </c>
      <c r="I90" s="226"/>
      <c r="J90" s="227" t="str">
        <f t="shared" si="4"/>
        <v/>
      </c>
      <c r="K90" s="232"/>
      <c r="L90" s="233"/>
      <c r="Q90" s="254"/>
    </row>
    <row r="91" spans="2:17" hidden="1" x14ac:dyDescent="0.4">
      <c r="B91" s="221"/>
      <c r="C91" s="255" t="str">
        <f>IFERROR(INDEX('Total-T7.2019'!B$95:B$274,1/LARGE(INDEX(('Total-T7.2019'!AQ$95:AQ$274=N$11)*('Total-T7.2019'!AP$95:AP$274&lt;0)/ROW('Total-T7.2019'!AQ$95:AQ$274),),ROW(A81))-94),"")</f>
        <v/>
      </c>
      <c r="D91" s="222" t="str">
        <f t="shared" si="3"/>
        <v/>
      </c>
      <c r="E91" s="223" t="str">
        <f>IFERROR(INDEX('Total-T7.2019'!C$95:C$274,1/LARGE(INDEX(('Total-T7.2019'!AQ$95:AQ$274=N$11)*('Total-T7.2019'!AP$95:AP$274&lt;0)/ROW('Total-T7.2019'!AQ$95:AQ$274),),ROW(A81))-94),"")</f>
        <v/>
      </c>
      <c r="F91" s="235"/>
      <c r="G91" s="224" t="str">
        <f>IFERROR(INDEX('Total-T7.2019'!AP$95:AP$274,1/LARGE(INDEX(('Total-T7.2019'!AQ$95:AQ$274=N$11)*('Total-T7.2019'!AP$95:AP$274&lt;0)/ROW('Total-T7.2019'!AQ$95:AQ$274),),ROW(A81))-94),"")</f>
        <v/>
      </c>
      <c r="H91" s="225" t="str">
        <f>IFERROR(INDEX('Total-T7.2019'!AK$95:AK$274,1/LARGE(INDEX(('Total-T7.2019'!AQ$95:AQ$274=N$11)*('Total-T7.2019'!AP$95:AP$274&lt;0)/ROW('Total-T7.2019'!AQ$95:AQ$274),),ROW(A81))-94),"")</f>
        <v/>
      </c>
      <c r="I91" s="226"/>
      <c r="J91" s="227" t="str">
        <f t="shared" si="4"/>
        <v/>
      </c>
      <c r="K91" s="232"/>
      <c r="L91" s="233"/>
      <c r="Q91" s="254"/>
    </row>
    <row r="92" spans="2:17" hidden="1" x14ac:dyDescent="0.4">
      <c r="B92" s="221"/>
      <c r="C92" s="255" t="str">
        <f>IFERROR(INDEX('Total-T7.2019'!B$95:B$274,1/LARGE(INDEX(('Total-T7.2019'!AQ$95:AQ$274=N$11)*('Total-T7.2019'!AP$95:AP$274&lt;0)/ROW('Total-T7.2019'!AQ$95:AQ$274),),ROW(A82))-94),"")</f>
        <v/>
      </c>
      <c r="D92" s="222" t="str">
        <f t="shared" si="3"/>
        <v/>
      </c>
      <c r="E92" s="223" t="str">
        <f>IFERROR(INDEX('Total-T7.2019'!C$95:C$274,1/LARGE(INDEX(('Total-T7.2019'!AQ$95:AQ$274=N$11)*('Total-T7.2019'!AP$95:AP$274&lt;0)/ROW('Total-T7.2019'!AQ$95:AQ$274),),ROW(A82))-94),"")</f>
        <v/>
      </c>
      <c r="F92" s="235"/>
      <c r="G92" s="224" t="str">
        <f>IFERROR(INDEX('Total-T7.2019'!AP$95:AP$274,1/LARGE(INDEX(('Total-T7.2019'!AQ$95:AQ$274=N$11)*('Total-T7.2019'!AP$95:AP$274&lt;0)/ROW('Total-T7.2019'!AQ$95:AQ$274),),ROW(A82))-94),"")</f>
        <v/>
      </c>
      <c r="H92" s="225" t="str">
        <f>IFERROR(INDEX('Total-T7.2019'!AK$95:AK$274,1/LARGE(INDEX(('Total-T7.2019'!AQ$95:AQ$274=N$11)*('Total-T7.2019'!AP$95:AP$274&lt;0)/ROW('Total-T7.2019'!AQ$95:AQ$274),),ROW(A82))-94),"")</f>
        <v/>
      </c>
      <c r="I92" s="226"/>
      <c r="J92" s="227" t="str">
        <f t="shared" si="4"/>
        <v/>
      </c>
      <c r="K92" s="232"/>
      <c r="L92" s="233"/>
      <c r="Q92" s="254"/>
    </row>
    <row r="93" spans="2:17" hidden="1" x14ac:dyDescent="0.4">
      <c r="B93" s="221"/>
      <c r="C93" s="255" t="str">
        <f>IFERROR(INDEX('Total-T7.2019'!B$95:B$274,1/LARGE(INDEX(('Total-T7.2019'!AQ$95:AQ$274=N$11)*('Total-T7.2019'!AP$95:AP$274&lt;0)/ROW('Total-T7.2019'!AQ$95:AQ$274),),ROW(A83))-94),"")</f>
        <v/>
      </c>
      <c r="D93" s="222" t="str">
        <f t="shared" si="3"/>
        <v/>
      </c>
      <c r="E93" s="223" t="str">
        <f>IFERROR(INDEX('Total-T7.2019'!C$95:C$274,1/LARGE(INDEX(('Total-T7.2019'!AQ$95:AQ$274=N$11)*('Total-T7.2019'!AP$95:AP$274&lt;0)/ROW('Total-T7.2019'!AQ$95:AQ$274),),ROW(A83))-94),"")</f>
        <v/>
      </c>
      <c r="F93" s="235"/>
      <c r="G93" s="224" t="str">
        <f>IFERROR(INDEX('Total-T7.2019'!AP$95:AP$274,1/LARGE(INDEX(('Total-T7.2019'!AQ$95:AQ$274=N$11)*('Total-T7.2019'!AP$95:AP$274&lt;0)/ROW('Total-T7.2019'!AQ$95:AQ$274),),ROW(A83))-94),"")</f>
        <v/>
      </c>
      <c r="H93" s="225" t="str">
        <f>IFERROR(INDEX('Total-T7.2019'!AK$95:AK$274,1/LARGE(INDEX(('Total-T7.2019'!AQ$95:AQ$274=N$11)*('Total-T7.2019'!AP$95:AP$274&lt;0)/ROW('Total-T7.2019'!AQ$95:AQ$274),),ROW(A83))-94),"")</f>
        <v/>
      </c>
      <c r="I93" s="226"/>
      <c r="J93" s="227" t="str">
        <f t="shared" si="4"/>
        <v/>
      </c>
      <c r="K93" s="232"/>
      <c r="L93" s="233"/>
      <c r="Q93" s="254"/>
    </row>
    <row r="94" spans="2:17" hidden="1" x14ac:dyDescent="0.4">
      <c r="B94" s="221"/>
      <c r="C94" s="255" t="str">
        <f>IFERROR(INDEX('Total-T7.2019'!B$95:B$274,1/LARGE(INDEX(('Total-T7.2019'!AQ$95:AQ$274=N$11)*('Total-T7.2019'!AP$95:AP$274&lt;0)/ROW('Total-T7.2019'!AQ$95:AQ$274),),ROW(A84))-94),"")</f>
        <v/>
      </c>
      <c r="D94" s="222" t="str">
        <f t="shared" si="3"/>
        <v/>
      </c>
      <c r="E94" s="223" t="str">
        <f>IFERROR(INDEX('Total-T7.2019'!C$95:C$274,1/LARGE(INDEX(('Total-T7.2019'!AQ$95:AQ$274=N$11)*('Total-T7.2019'!AP$95:AP$274&lt;0)/ROW('Total-T7.2019'!AQ$95:AQ$274),),ROW(A84))-94),"")</f>
        <v/>
      </c>
      <c r="F94" s="235"/>
      <c r="G94" s="224" t="str">
        <f>IFERROR(INDEX('Total-T7.2019'!AP$95:AP$274,1/LARGE(INDEX(('Total-T7.2019'!AQ$95:AQ$274=N$11)*('Total-T7.2019'!AP$95:AP$274&lt;0)/ROW('Total-T7.2019'!AQ$95:AQ$274),),ROW(A84))-94),"")</f>
        <v/>
      </c>
      <c r="H94" s="225" t="str">
        <f>IFERROR(INDEX('Total-T7.2019'!AK$95:AK$274,1/LARGE(INDEX(('Total-T7.2019'!AQ$95:AQ$274=N$11)*('Total-T7.2019'!AP$95:AP$274&lt;0)/ROW('Total-T7.2019'!AQ$95:AQ$274),),ROW(A84))-94),"")</f>
        <v/>
      </c>
      <c r="I94" s="226"/>
      <c r="J94" s="227" t="str">
        <f t="shared" si="4"/>
        <v/>
      </c>
      <c r="K94" s="232"/>
      <c r="L94" s="233"/>
      <c r="Q94" s="254"/>
    </row>
    <row r="95" spans="2:17" hidden="1" x14ac:dyDescent="0.4">
      <c r="B95" s="221"/>
      <c r="C95" s="255" t="str">
        <f>IFERROR(INDEX('Total-T7.2019'!B$95:B$274,1/LARGE(INDEX(('Total-T7.2019'!AQ$95:AQ$274=N$11)*('Total-T7.2019'!AP$95:AP$274&lt;0)/ROW('Total-T7.2019'!AQ$95:AQ$274),),ROW(A85))-94),"")</f>
        <v/>
      </c>
      <c r="D95" s="222" t="str">
        <f t="shared" si="3"/>
        <v/>
      </c>
      <c r="E95" s="223" t="str">
        <f>IFERROR(INDEX('Total-T7.2019'!C$95:C$274,1/LARGE(INDEX(('Total-T7.2019'!AQ$95:AQ$274=N$11)*('Total-T7.2019'!AP$95:AP$274&lt;0)/ROW('Total-T7.2019'!AQ$95:AQ$274),),ROW(A85))-94),"")</f>
        <v/>
      </c>
      <c r="F95" s="235"/>
      <c r="G95" s="224" t="str">
        <f>IFERROR(INDEX('Total-T7.2019'!AP$95:AP$274,1/LARGE(INDEX(('Total-T7.2019'!AQ$95:AQ$274=N$11)*('Total-T7.2019'!AP$95:AP$274&lt;0)/ROW('Total-T7.2019'!AQ$95:AQ$274),),ROW(A85))-94),"")</f>
        <v/>
      </c>
      <c r="H95" s="225" t="str">
        <f>IFERROR(INDEX('Total-T7.2019'!AK$95:AK$274,1/LARGE(INDEX(('Total-T7.2019'!AQ$95:AQ$274=N$11)*('Total-T7.2019'!AP$95:AP$274&lt;0)/ROW('Total-T7.2019'!AQ$95:AQ$274),),ROW(A85))-94),"")</f>
        <v/>
      </c>
      <c r="I95" s="226"/>
      <c r="J95" s="227" t="str">
        <f t="shared" si="4"/>
        <v/>
      </c>
      <c r="K95" s="232"/>
      <c r="L95" s="233"/>
      <c r="Q95" s="254"/>
    </row>
    <row r="96" spans="2:17" hidden="1" x14ac:dyDescent="0.4">
      <c r="B96" s="221"/>
      <c r="C96" s="255" t="str">
        <f>IFERROR(INDEX('Total-T7.2019'!B$95:B$274,1/LARGE(INDEX(('Total-T7.2019'!AQ$95:AQ$274=N$11)*('Total-T7.2019'!AP$95:AP$274&lt;0)/ROW('Total-T7.2019'!AQ$95:AQ$274),),ROW(A86))-94),"")</f>
        <v/>
      </c>
      <c r="D96" s="222" t="str">
        <f t="shared" si="3"/>
        <v/>
      </c>
      <c r="E96" s="223" t="str">
        <f>IFERROR(INDEX('Total-T7.2019'!C$95:C$274,1/LARGE(INDEX(('Total-T7.2019'!AQ$95:AQ$274=N$11)*('Total-T7.2019'!AP$95:AP$274&lt;0)/ROW('Total-T7.2019'!AQ$95:AQ$274),),ROW(A86))-94),"")</f>
        <v/>
      </c>
      <c r="F96" s="235"/>
      <c r="G96" s="224" t="str">
        <f>IFERROR(INDEX('Total-T7.2019'!AP$95:AP$274,1/LARGE(INDEX(('Total-T7.2019'!AQ$95:AQ$274=N$11)*('Total-T7.2019'!AP$95:AP$274&lt;0)/ROW('Total-T7.2019'!AQ$95:AQ$274),),ROW(A86))-94),"")</f>
        <v/>
      </c>
      <c r="H96" s="225" t="str">
        <f>IFERROR(INDEX('Total-T7.2019'!AK$95:AK$274,1/LARGE(INDEX(('Total-T7.2019'!AQ$95:AQ$274=N$11)*('Total-T7.2019'!AP$95:AP$274&lt;0)/ROW('Total-T7.2019'!AQ$95:AQ$274),),ROW(A86))-94),"")</f>
        <v/>
      </c>
      <c r="I96" s="226"/>
      <c r="J96" s="227" t="str">
        <f t="shared" si="4"/>
        <v/>
      </c>
      <c r="K96" s="232"/>
      <c r="L96" s="233"/>
      <c r="Q96" s="254"/>
    </row>
    <row r="97" spans="2:17" hidden="1" x14ac:dyDescent="0.4">
      <c r="B97" s="221"/>
      <c r="C97" s="255" t="str">
        <f>IFERROR(INDEX('Total-T7.2019'!B$95:B$274,1/LARGE(INDEX(('Total-T7.2019'!AQ$95:AQ$274=N$11)*('Total-T7.2019'!AP$95:AP$274&lt;0)/ROW('Total-T7.2019'!AQ$95:AQ$274),),ROW(A87))-94),"")</f>
        <v/>
      </c>
      <c r="D97" s="222" t="str">
        <f t="shared" si="3"/>
        <v/>
      </c>
      <c r="E97" s="223" t="str">
        <f>IFERROR(INDEX('Total-T7.2019'!C$95:C$274,1/LARGE(INDEX(('Total-T7.2019'!AQ$95:AQ$274=N$11)*('Total-T7.2019'!AP$95:AP$274&lt;0)/ROW('Total-T7.2019'!AQ$95:AQ$274),),ROW(A87))-94),"")</f>
        <v/>
      </c>
      <c r="F97" s="235"/>
      <c r="G97" s="224" t="str">
        <f>IFERROR(INDEX('Total-T7.2019'!AP$95:AP$274,1/LARGE(INDEX(('Total-T7.2019'!AQ$95:AQ$274=N$11)*('Total-T7.2019'!AP$95:AP$274&lt;0)/ROW('Total-T7.2019'!AQ$95:AQ$274),),ROW(A87))-94),"")</f>
        <v/>
      </c>
      <c r="H97" s="225" t="str">
        <f>IFERROR(INDEX('Total-T7.2019'!AK$95:AK$274,1/LARGE(INDEX(('Total-T7.2019'!AQ$95:AQ$274=N$11)*('Total-T7.2019'!AP$95:AP$274&lt;0)/ROW('Total-T7.2019'!AQ$95:AQ$274),),ROW(A87))-94),"")</f>
        <v/>
      </c>
      <c r="I97" s="226"/>
      <c r="J97" s="227" t="str">
        <f t="shared" si="4"/>
        <v/>
      </c>
      <c r="K97" s="232"/>
      <c r="L97" s="233"/>
      <c r="Q97" s="254"/>
    </row>
    <row r="98" spans="2:17" hidden="1" x14ac:dyDescent="0.4">
      <c r="B98" s="221"/>
      <c r="C98" s="255" t="str">
        <f>IFERROR(INDEX('Total-T7.2019'!B$95:B$274,1/LARGE(INDEX(('Total-T7.2019'!AQ$95:AQ$274=N$11)*('Total-T7.2019'!AP$95:AP$274&lt;0)/ROW('Total-T7.2019'!AQ$95:AQ$274),),ROW(A88))-94),"")</f>
        <v/>
      </c>
      <c r="D98" s="222" t="str">
        <f t="shared" si="3"/>
        <v/>
      </c>
      <c r="E98" s="223" t="str">
        <f>IFERROR(INDEX('Total-T7.2019'!C$95:C$274,1/LARGE(INDEX(('Total-T7.2019'!AQ$95:AQ$274=N$11)*('Total-T7.2019'!AP$95:AP$274&lt;0)/ROW('Total-T7.2019'!AQ$95:AQ$274),),ROW(A88))-94),"")</f>
        <v/>
      </c>
      <c r="F98" s="235"/>
      <c r="G98" s="224" t="str">
        <f>IFERROR(INDEX('Total-T7.2019'!AP$95:AP$274,1/LARGE(INDEX(('Total-T7.2019'!AQ$95:AQ$274=N$11)*('Total-T7.2019'!AP$95:AP$274&lt;0)/ROW('Total-T7.2019'!AQ$95:AQ$274),),ROW(A88))-94),"")</f>
        <v/>
      </c>
      <c r="H98" s="225" t="str">
        <f>IFERROR(INDEX('Total-T7.2019'!AK$95:AK$274,1/LARGE(INDEX(('Total-T7.2019'!AQ$95:AQ$274=N$11)*('Total-T7.2019'!AP$95:AP$274&lt;0)/ROW('Total-T7.2019'!AQ$95:AQ$274),),ROW(A88))-94),"")</f>
        <v/>
      </c>
      <c r="I98" s="226"/>
      <c r="J98" s="227" t="str">
        <f t="shared" si="4"/>
        <v/>
      </c>
      <c r="K98" s="232"/>
      <c r="L98" s="233"/>
      <c r="Q98" s="254"/>
    </row>
    <row r="99" spans="2:17" hidden="1" x14ac:dyDescent="0.4">
      <c r="B99" s="221"/>
      <c r="C99" s="255" t="str">
        <f>IFERROR(INDEX('Total-T7.2019'!B$95:B$274,1/LARGE(INDEX(('Total-T7.2019'!AQ$95:AQ$274=N$11)*('Total-T7.2019'!AP$95:AP$274&lt;0)/ROW('Total-T7.2019'!AQ$95:AQ$274),),ROW(A89))-94),"")</f>
        <v/>
      </c>
      <c r="D99" s="222" t="str">
        <f t="shared" si="3"/>
        <v/>
      </c>
      <c r="E99" s="223" t="str">
        <f>IFERROR(INDEX('Total-T7.2019'!C$95:C$274,1/LARGE(INDEX(('Total-T7.2019'!AQ$95:AQ$274=N$11)*('Total-T7.2019'!AP$95:AP$274&lt;0)/ROW('Total-T7.2019'!AQ$95:AQ$274),),ROW(A89))-94),"")</f>
        <v/>
      </c>
      <c r="F99" s="235"/>
      <c r="G99" s="224" t="str">
        <f>IFERROR(INDEX('Total-T7.2019'!AP$95:AP$274,1/LARGE(INDEX(('Total-T7.2019'!AQ$95:AQ$274=N$11)*('Total-T7.2019'!AP$95:AP$274&lt;0)/ROW('Total-T7.2019'!AQ$95:AQ$274),),ROW(A89))-94),"")</f>
        <v/>
      </c>
      <c r="H99" s="225" t="str">
        <f>IFERROR(INDEX('Total-T7.2019'!AK$95:AK$274,1/LARGE(INDEX(('Total-T7.2019'!AQ$95:AQ$274=N$11)*('Total-T7.2019'!AP$95:AP$274&lt;0)/ROW('Total-T7.2019'!AQ$95:AQ$274),),ROW(A89))-94),"")</f>
        <v/>
      </c>
      <c r="I99" s="226"/>
      <c r="J99" s="227" t="str">
        <f t="shared" si="4"/>
        <v/>
      </c>
      <c r="K99" s="232"/>
      <c r="L99" s="233"/>
      <c r="Q99" s="254"/>
    </row>
    <row r="100" spans="2:17" x14ac:dyDescent="0.4">
      <c r="B100" s="302" t="s">
        <v>627</v>
      </c>
      <c r="C100" s="303"/>
      <c r="D100" s="303"/>
      <c r="E100" s="303"/>
      <c r="F100" s="303"/>
      <c r="G100" s="304">
        <f>SUM(G11:G33)</f>
        <v>-1.8916666666666671</v>
      </c>
      <c r="H100" s="304"/>
      <c r="I100" s="304"/>
      <c r="J100" s="305">
        <f>SUM(J11:J33)</f>
        <v>0</v>
      </c>
      <c r="K100" s="305"/>
      <c r="L100" s="236"/>
      <c r="Q100" s="254"/>
    </row>
    <row r="101" spans="2:17" ht="18" thickBot="1" x14ac:dyDescent="0.45">
      <c r="B101" s="293" t="s">
        <v>628</v>
      </c>
      <c r="C101" s="294"/>
      <c r="D101" s="294"/>
      <c r="E101" s="294"/>
      <c r="F101" s="294"/>
      <c r="G101" s="294"/>
      <c r="H101" s="294"/>
      <c r="I101" s="294"/>
      <c r="J101" s="294"/>
      <c r="K101" s="294"/>
      <c r="L101" s="295"/>
      <c r="Q101" s="254"/>
    </row>
    <row r="102" spans="2:17" x14ac:dyDescent="0.4">
      <c r="B102" s="198"/>
      <c r="C102" s="198"/>
      <c r="D102" s="199"/>
      <c r="E102" s="199"/>
      <c r="F102" s="198"/>
      <c r="G102" s="199"/>
      <c r="H102" s="237"/>
      <c r="I102" s="238"/>
      <c r="J102" s="239"/>
      <c r="K102" s="296" t="s">
        <v>629</v>
      </c>
      <c r="L102" s="296"/>
      <c r="Q102" s="254"/>
    </row>
    <row r="103" spans="2:17" x14ac:dyDescent="0.4">
      <c r="B103" s="240" t="s">
        <v>630</v>
      </c>
      <c r="C103" s="240"/>
      <c r="D103" s="241"/>
      <c r="E103" s="241"/>
      <c r="F103" s="242"/>
      <c r="G103" s="243"/>
      <c r="H103" s="242"/>
      <c r="I103" s="242"/>
      <c r="J103" s="244"/>
      <c r="K103" s="244"/>
      <c r="L103" s="198"/>
      <c r="Q103" s="254"/>
    </row>
    <row r="104" spans="2:17" x14ac:dyDescent="0.4">
      <c r="B104" s="240" t="s">
        <v>631</v>
      </c>
      <c r="C104" s="240"/>
      <c r="D104" s="242" t="s">
        <v>632</v>
      </c>
      <c r="E104" s="242"/>
      <c r="F104" s="242"/>
      <c r="G104" s="243"/>
      <c r="H104" s="242"/>
      <c r="I104" s="242"/>
      <c r="J104" s="244"/>
      <c r="K104" s="244"/>
      <c r="L104" s="242"/>
      <c r="Q104" s="254"/>
    </row>
    <row r="105" spans="2:17" x14ac:dyDescent="0.4">
      <c r="B105" s="240" t="s">
        <v>633</v>
      </c>
      <c r="C105" s="240"/>
      <c r="D105" s="245" t="s">
        <v>634</v>
      </c>
      <c r="E105" s="245"/>
      <c r="F105" s="245"/>
      <c r="G105" s="242"/>
      <c r="H105" s="242"/>
      <c r="I105" s="242"/>
      <c r="J105" s="246"/>
      <c r="K105" s="240"/>
      <c r="L105" s="242"/>
      <c r="Q105" s="254"/>
    </row>
    <row r="106" spans="2:17" ht="18" thickBot="1" x14ac:dyDescent="0.45">
      <c r="B106" s="240" t="s">
        <v>635</v>
      </c>
      <c r="C106" s="240"/>
      <c r="D106" s="242" t="s">
        <v>636</v>
      </c>
      <c r="E106" s="242"/>
      <c r="F106" s="242"/>
      <c r="G106" s="242"/>
      <c r="H106" s="242"/>
      <c r="I106" s="247" t="s">
        <v>637</v>
      </c>
      <c r="J106" s="248"/>
      <c r="K106" s="249"/>
      <c r="L106" s="249"/>
      <c r="Q106" s="254"/>
    </row>
    <row r="107" spans="2:17" x14ac:dyDescent="0.4">
      <c r="Q107" s="254"/>
    </row>
    <row r="108" spans="2:17" x14ac:dyDescent="0.4">
      <c r="Q108" s="254"/>
    </row>
    <row r="109" spans="2:17" x14ac:dyDescent="0.4">
      <c r="Q109" s="254"/>
    </row>
    <row r="110" spans="2:17" x14ac:dyDescent="0.4">
      <c r="Q110" s="254"/>
    </row>
    <row r="111" spans="2:17" x14ac:dyDescent="0.4">
      <c r="Q111" s="254"/>
    </row>
    <row r="112" spans="2:17" x14ac:dyDescent="0.4">
      <c r="Q112" s="254"/>
    </row>
    <row r="113" spans="17:17" x14ac:dyDescent="0.4">
      <c r="Q113" s="254"/>
    </row>
    <row r="114" spans="17:17" x14ac:dyDescent="0.4">
      <c r="Q114" s="254"/>
    </row>
    <row r="115" spans="17:17" x14ac:dyDescent="0.4">
      <c r="Q115" s="254"/>
    </row>
    <row r="116" spans="17:17" x14ac:dyDescent="0.4">
      <c r="Q116" s="254"/>
    </row>
    <row r="117" spans="17:17" x14ac:dyDescent="0.4">
      <c r="Q117" s="254"/>
    </row>
    <row r="118" spans="17:17" x14ac:dyDescent="0.4">
      <c r="Q118" s="254"/>
    </row>
    <row r="119" spans="17:17" x14ac:dyDescent="0.4">
      <c r="Q119" s="254"/>
    </row>
    <row r="120" spans="17:17" x14ac:dyDescent="0.4">
      <c r="Q120" s="254"/>
    </row>
    <row r="121" spans="17:17" x14ac:dyDescent="0.4">
      <c r="Q121" s="254"/>
    </row>
    <row r="122" spans="17:17" x14ac:dyDescent="0.4">
      <c r="Q122" s="254"/>
    </row>
    <row r="123" spans="17:17" x14ac:dyDescent="0.4">
      <c r="Q123" s="254"/>
    </row>
    <row r="124" spans="17:17" x14ac:dyDescent="0.4">
      <c r="Q124" s="254"/>
    </row>
    <row r="125" spans="17:17" x14ac:dyDescent="0.4">
      <c r="Q125" s="254"/>
    </row>
    <row r="126" spans="17:17" x14ac:dyDescent="0.4">
      <c r="Q126" s="254"/>
    </row>
    <row r="127" spans="17:17" x14ac:dyDescent="0.4">
      <c r="Q127" s="254"/>
    </row>
    <row r="128" spans="17:17" x14ac:dyDescent="0.4">
      <c r="Q128" s="254"/>
    </row>
    <row r="129" spans="17:17" x14ac:dyDescent="0.4">
      <c r="Q129" s="254"/>
    </row>
    <row r="130" spans="17:17" x14ac:dyDescent="0.4">
      <c r="Q130" s="254"/>
    </row>
    <row r="131" spans="17:17" x14ac:dyDescent="0.4">
      <c r="Q131" s="254"/>
    </row>
    <row r="132" spans="17:17" x14ac:dyDescent="0.4">
      <c r="Q132" s="254"/>
    </row>
    <row r="133" spans="17:17" x14ac:dyDescent="0.4">
      <c r="Q133" s="254"/>
    </row>
    <row r="134" spans="17:17" x14ac:dyDescent="0.4">
      <c r="Q134" s="254"/>
    </row>
    <row r="135" spans="17:17" x14ac:dyDescent="0.4">
      <c r="Q135" s="254"/>
    </row>
    <row r="136" spans="17:17" x14ac:dyDescent="0.4">
      <c r="Q136" s="254"/>
    </row>
    <row r="137" spans="17:17" x14ac:dyDescent="0.4">
      <c r="Q137" s="254"/>
    </row>
    <row r="138" spans="17:17" x14ac:dyDescent="0.4">
      <c r="Q138" s="254"/>
    </row>
    <row r="139" spans="17:17" x14ac:dyDescent="0.4">
      <c r="Q139" s="254"/>
    </row>
    <row r="140" spans="17:17" x14ac:dyDescent="0.4">
      <c r="Q140" s="254"/>
    </row>
    <row r="141" spans="17:17" x14ac:dyDescent="0.4">
      <c r="Q141" s="254"/>
    </row>
    <row r="142" spans="17:17" x14ac:dyDescent="0.4">
      <c r="Q142" s="254"/>
    </row>
    <row r="143" spans="17:17" x14ac:dyDescent="0.4">
      <c r="Q143" s="254"/>
    </row>
    <row r="144" spans="17:17" x14ac:dyDescent="0.4">
      <c r="Q144" s="254"/>
    </row>
    <row r="145" spans="17:17" x14ac:dyDescent="0.4">
      <c r="Q145" s="254"/>
    </row>
    <row r="146" spans="17:17" x14ac:dyDescent="0.4">
      <c r="Q146" s="254"/>
    </row>
    <row r="147" spans="17:17" x14ac:dyDescent="0.4">
      <c r="Q147" s="254"/>
    </row>
    <row r="148" spans="17:17" x14ac:dyDescent="0.4">
      <c r="Q148" s="254"/>
    </row>
    <row r="149" spans="17:17" x14ac:dyDescent="0.4">
      <c r="Q149" s="254"/>
    </row>
    <row r="150" spans="17:17" x14ac:dyDescent="0.4">
      <c r="Q150" s="254"/>
    </row>
    <row r="151" spans="17:17" x14ac:dyDescent="0.4">
      <c r="Q151" s="254"/>
    </row>
    <row r="152" spans="17:17" x14ac:dyDescent="0.4">
      <c r="Q152" s="254"/>
    </row>
    <row r="153" spans="17:17" x14ac:dyDescent="0.4">
      <c r="Q153" s="254"/>
    </row>
    <row r="154" spans="17:17" x14ac:dyDescent="0.4">
      <c r="Q154" s="254"/>
    </row>
    <row r="155" spans="17:17" x14ac:dyDescent="0.4">
      <c r="Q155" s="254"/>
    </row>
    <row r="156" spans="17:17" x14ac:dyDescent="0.4">
      <c r="Q156" s="254"/>
    </row>
    <row r="157" spans="17:17" x14ac:dyDescent="0.4">
      <c r="Q157" s="254"/>
    </row>
    <row r="158" spans="17:17" x14ac:dyDescent="0.4">
      <c r="Q158" s="254"/>
    </row>
    <row r="159" spans="17:17" x14ac:dyDescent="0.4">
      <c r="Q159" s="254"/>
    </row>
    <row r="160" spans="17:17" x14ac:dyDescent="0.4">
      <c r="Q160" s="254"/>
    </row>
    <row r="161" spans="4:17" x14ac:dyDescent="0.4">
      <c r="D161" t="str">
        <f>IFERROR(INDEX('Total-T7.2019'!D$95:D$274,1/LARGE(INDEX(('Total-T7.2019'!AQ$95:AQ$274=N$11)*('Total-T7.2019'!AP$95:AP$274&lt;0)/ROW('Total-T7.2019'!AQ$95:AQ$274),),ROW(A1))-94),"")</f>
        <v>MASTER CARTON, 24SETS (BZ/EE)</v>
      </c>
      <c r="F161" t="s">
        <v>640</v>
      </c>
      <c r="Q161" s="254"/>
    </row>
    <row r="162" spans="4:17" x14ac:dyDescent="0.4">
      <c r="D162" t="str">
        <f>IFERROR(INDEX('Total-T7.2019'!D$95:D$274,1/LARGE(INDEX(('Total-T7.2019'!AQ$95:AQ$274=N$11)*('Total-T7.2019'!AP$95:AP$274&lt;0)/ROW('Total-T7.2019'!AQ$95:AQ$274),),ROW(A2))-94),"")</f>
        <v>MASTER CARTON, 24SETS (VZ1/AE)</v>
      </c>
      <c r="F162" s="140" t="s">
        <v>552</v>
      </c>
      <c r="Q162" s="254"/>
    </row>
    <row r="163" spans="4:17" x14ac:dyDescent="0.4">
      <c r="D163" t="str">
        <f>IFERROR(INDEX('Total-T7.2019'!D$95:D$274,1/LARGE(INDEX(('Total-T7.2019'!AQ$95:AQ$274=N$11)*('Total-T7.2019'!AP$95:AP$274&lt;0)/ROW('Total-T7.2019'!AQ$95:AQ$274),),ROW(A3))-94),"")</f>
        <v>MASTER CARTON, 50SETS (BZ1/E)</v>
      </c>
      <c r="F163" s="140" t="s">
        <v>561</v>
      </c>
      <c r="Q163" s="254"/>
    </row>
    <row r="164" spans="4:17" x14ac:dyDescent="0.4">
      <c r="D164" t="str">
        <f>IFERROR(INDEX('Total-T7.2019'!D$95:D$274,1/LARGE(INDEX(('Total-T7.2019'!AQ$95:AQ$274=N$11)*('Total-T7.2019'!AP$95:AP$274&lt;0)/ROW('Total-T7.2019'!AQ$95:AQ$274),),ROW(A4))-94),"")</f>
        <v>MASTER CARTON, 50SETS (WIZ1/E)</v>
      </c>
      <c r="F164" s="140" t="s">
        <v>563</v>
      </c>
      <c r="Q164" s="254"/>
    </row>
    <row r="165" spans="4:17" x14ac:dyDescent="0.4">
      <c r="D165" t="str">
        <f>IFERROR(INDEX('Total-T7.2019'!D$95:D$274,1/LARGE(INDEX(('Total-T7.2019'!AQ$95:AQ$274=N$11)*('Total-T7.2019'!AP$95:AP$274&lt;0)/ROW('Total-T7.2019'!AQ$95:AQ$274),),ROW(A5))-94),"")</f>
        <v>MASTER CARTON, 50SETS (HZ1/E)</v>
      </c>
      <c r="F165" s="140" t="s">
        <v>570</v>
      </c>
      <c r="Q165" s="254"/>
    </row>
    <row r="166" spans="4:17" x14ac:dyDescent="0.4">
      <c r="D166" t="str">
        <f>IFERROR(INDEX('Total-T7.2019'!D$95:D$274,1/LARGE(INDEX(('Total-T7.2019'!AQ$95:AQ$274=N$11)*('Total-T7.2019'!AP$95:AP$274&lt;0)/ROW('Total-T7.2019'!AQ$95:AQ$274),),ROW(A6))-94),"")</f>
        <v>MASTER CARTON, 50SETS (PZ1/E)</v>
      </c>
      <c r="F166" s="140" t="s">
        <v>571</v>
      </c>
      <c r="Q166" s="254"/>
    </row>
    <row r="167" spans="4:17" x14ac:dyDescent="0.4">
      <c r="D167" t="str">
        <f>IFERROR(INDEX('Total-T7.2019'!D$95:D$274,1/LARGE(INDEX(('Total-T7.2019'!AQ$95:AQ$274=N$11)*('Total-T7.2019'!AP$95:AP$274&lt;0)/ROW('Total-T7.2019'!AQ$95:AQ$274),),ROW(A7))-94),"")</f>
        <v>MASTER CARTON, 50SETS (LZ1/E)</v>
      </c>
      <c r="F167" s="140" t="s">
        <v>572</v>
      </c>
      <c r="Q167" s="254"/>
    </row>
    <row r="168" spans="4:17" x14ac:dyDescent="0.4">
      <c r="D168" t="str">
        <f>IFERROR(INDEX('Total-T7.2019'!D$95:D$274,1/LARGE(INDEX(('Total-T7.2019'!AQ$95:AQ$274=N$11)*('Total-T7.2019'!AP$95:AP$274&lt;0)/ROW('Total-T7.2019'!AQ$95:AQ$274),),ROW(A8))-94),"")</f>
        <v>MASTER CARTON, 24SETS (BZ1/U)</v>
      </c>
      <c r="F168" s="258" t="s">
        <v>562</v>
      </c>
      <c r="Q168" s="254"/>
    </row>
    <row r="169" spans="4:17" x14ac:dyDescent="0.4">
      <c r="D169" t="str">
        <f>IFERROR(INDEX('Total-T7.2019'!D$95:D$274,1/LARGE(INDEX(('Total-T7.2019'!AQ$95:AQ$274=N$11)*('Total-T7.2019'!AP$95:AP$274&lt;0)/ROW('Total-T7.2019'!AQ$95:AQ$274),),ROW(A9))-94),"")</f>
        <v>MASTER CARTON, 24SETS (WIZ1/U)</v>
      </c>
      <c r="F169" s="140" t="s">
        <v>564</v>
      </c>
      <c r="Q169" s="254"/>
    </row>
    <row r="170" spans="4:17" x14ac:dyDescent="0.4">
      <c r="D170" t="str">
        <f>IFERROR(INDEX('Total-T7.2019'!D$95:D$274,1/LARGE(INDEX(('Total-T7.2019'!AQ$95:AQ$274=N$11)*('Total-T7.2019'!AP$95:AP$274&lt;0)/ROW('Total-T7.2019'!AQ$95:AQ$274),),ROW(A10))-94),"")</f>
        <v>MASTER CARTON, 24SETS (HZ1/U)</v>
      </c>
      <c r="F170" s="140" t="s">
        <v>556</v>
      </c>
      <c r="Q170" s="254"/>
    </row>
    <row r="171" spans="4:17" x14ac:dyDescent="0.4">
      <c r="D171" t="str">
        <f>IFERROR(INDEX('Total-T7.2019'!D$95:D$274,1/LARGE(INDEX(('Total-T7.2019'!AQ$95:AQ$274=N$11)*('Total-T7.2019'!AP$95:AP$274&lt;0)/ROW('Total-T7.2019'!AQ$95:AQ$274),),ROW(A11))-94),"")</f>
        <v>MASTER CARTON, 24SETS (PZ1/U)</v>
      </c>
      <c r="F171" s="140" t="s">
        <v>565</v>
      </c>
      <c r="Q171" s="254"/>
    </row>
    <row r="172" spans="4:17" x14ac:dyDescent="0.4">
      <c r="D172" t="str">
        <f>IFERROR(INDEX('Total-T7.2019'!D$95:D$274,1/LARGE(INDEX(('Total-T7.2019'!AQ$95:AQ$274=N$11)*('Total-T7.2019'!AP$95:AP$274&lt;0)/ROW('Total-T7.2019'!AQ$95:AQ$274),),ROW(A12))-94),"")</f>
        <v>MASTER CARTON, 24SETS (LZ1/U)</v>
      </c>
      <c r="F172" s="140" t="s">
        <v>566</v>
      </c>
      <c r="Q172" s="254"/>
    </row>
    <row r="173" spans="4:17" x14ac:dyDescent="0.4">
      <c r="D173" t="str">
        <f>IFERROR(INDEX('Total-T7.2019'!D$95:D$274,1/LARGE(INDEX(('Total-T7.2019'!AQ$95:AQ$274=N$11)*('Total-T7.2019'!AP$95:AP$274&lt;0)/ROW('Total-T7.2019'!AQ$95:AQ$274),),ROW(A13))-94),"")</f>
        <v>MASTER CARTON, 24SETS (BZ1/AE/CA)</v>
      </c>
      <c r="F173" s="140" t="s">
        <v>567</v>
      </c>
      <c r="Q173" s="254"/>
    </row>
    <row r="174" spans="4:17" x14ac:dyDescent="0.4">
      <c r="D174" t="str">
        <f>IFERROR(INDEX('Total-T7.2019'!D$95:D$274,1/LARGE(INDEX(('Total-T7.2019'!AQ$95:AQ$274=N$11)*('Total-T7.2019'!AP$95:AP$274&lt;0)/ROW('Total-T7.2019'!AQ$95:AQ$274),),ROW(A14))-94),"")</f>
        <v>MASTER CARTON, 24SETS (HZ1/AE/CA)</v>
      </c>
      <c r="F174" s="140" t="s">
        <v>568</v>
      </c>
      <c r="Q174" s="254"/>
    </row>
    <row r="175" spans="4:17" x14ac:dyDescent="0.4">
      <c r="D175" t="str">
        <f>IFERROR(INDEX('Total-T7.2019'!D$95:D$274,1/LARGE(INDEX(('Total-T7.2019'!AQ$95:AQ$274=N$11)*('Total-T7.2019'!AP$95:AP$274&lt;0)/ROW('Total-T7.2019'!AQ$95:AQ$274),),ROW(A15))-94),"")</f>
        <v>MASTER CARTON, 24SETS (PZ1/AE/CA)</v>
      </c>
      <c r="F175" s="140" t="s">
        <v>569</v>
      </c>
      <c r="Q175" s="254"/>
    </row>
    <row r="176" spans="4:17" x14ac:dyDescent="0.4">
      <c r="D176" t="str">
        <f>IFERROR(INDEX('Total-T7.2019'!D$95:D$274,1/LARGE(INDEX(('Total-T7.2019'!AQ$95:AQ$274=N$11)*('Total-T7.2019'!AP$95:AP$274&lt;0)/ROW('Total-T7.2019'!AQ$95:AQ$274),),ROW(A16))-94),"")</f>
        <v>MASTER CARTON, 24SETS (LZ1/AE/CA)</v>
      </c>
      <c r="Q176" s="254"/>
    </row>
    <row r="177" spans="4:17" x14ac:dyDescent="0.4">
      <c r="D177" t="str">
        <f>IFERROR(INDEX('Total-T7.2019'!D$95:D$274,1/LARGE(INDEX(('Total-T7.2019'!AQ$95:AQ$274=N$11)*('Total-T7.2019'!AP$95:AP$274&lt;0)/ROW('Total-T7.2019'!AQ$95:AQ$274),),ROW(A17))-94),"")</f>
        <v>MASTER CARTON, 6SETS SUB (BZ/EE)</v>
      </c>
      <c r="Q177" s="254"/>
    </row>
    <row r="178" spans="4:17" x14ac:dyDescent="0.4">
      <c r="D178" t="str">
        <f>IFERROR(INDEX('Total-T7.2019'!D$95:D$274,1/LARGE(INDEX(('Total-T7.2019'!AQ$95:AQ$274=N$11)*('Total-T7.2019'!AP$95:AP$274&lt;0)/ROW('Total-T7.2019'!AQ$95:AQ$274),),ROW(A18))-94),"")</f>
        <v>MASTER CARTON, 6SETS SUB (VZ1/AE)</v>
      </c>
      <c r="Q178" s="254"/>
    </row>
    <row r="179" spans="4:17" x14ac:dyDescent="0.4">
      <c r="D179" t="str">
        <f>IFERROR(INDEX('Total-T7.2019'!D$95:D$274,1/LARGE(INDEX(('Total-T7.2019'!AQ$95:AQ$274=N$11)*('Total-T7.2019'!AP$95:AP$274&lt;0)/ROW('Total-T7.2019'!AQ$95:AQ$274),),ROW(A19))-94),"")</f>
        <v>MASTER CARTON, 6SETS SUB (BZ1/U)</v>
      </c>
      <c r="Q179" s="254"/>
    </row>
    <row r="180" spans="4:17" x14ac:dyDescent="0.4">
      <c r="D180" t="str">
        <f>IFERROR(INDEX('Total-T7.2019'!D$95:D$274,1/LARGE(INDEX(('Total-T7.2019'!AQ$95:AQ$274=N$11)*('Total-T7.2019'!AP$95:AP$274&lt;0)/ROW('Total-T7.2019'!AQ$95:AQ$274),),ROW(A20))-94),"")</f>
        <v>MASTER CARTON, 6SETS SUB (WIZ1/U)</v>
      </c>
      <c r="Q180" s="254"/>
    </row>
    <row r="181" spans="4:17" x14ac:dyDescent="0.4">
      <c r="D181" t="str">
        <f>IFERROR(INDEX('Total-T7.2019'!D$95:D$274,1/LARGE(INDEX(('Total-T7.2019'!AQ$95:AQ$274=N$11)*('Total-T7.2019'!AP$95:AP$274&lt;0)/ROW('Total-T7.2019'!AQ$95:AQ$274),),ROW(A21))-94),"")</f>
        <v>MASTER CARTON, 6SETS SUB (HZ1/U)</v>
      </c>
      <c r="Q181" s="254"/>
    </row>
    <row r="182" spans="4:17" x14ac:dyDescent="0.4">
      <c r="D182" t="str">
        <f>IFERROR(INDEX('Total-T7.2019'!D$95:D$274,1/LARGE(INDEX(('Total-T7.2019'!AQ$95:AQ$274=N$11)*('Total-T7.2019'!AP$95:AP$274&lt;0)/ROW('Total-T7.2019'!AQ$95:AQ$274),),ROW(A22))-94),"")</f>
        <v>MASTER CARTON, 6SETS SUB (PZ1/U)</v>
      </c>
      <c r="Q182" s="254"/>
    </row>
    <row r="183" spans="4:17" x14ac:dyDescent="0.4">
      <c r="D183" t="str">
        <f>IFERROR(INDEX('Total-T7.2019'!D$95:D$274,1/LARGE(INDEX(('Total-T7.2019'!AQ$95:AQ$274=N$11)*('Total-T7.2019'!AP$95:AP$274&lt;0)/ROW('Total-T7.2019'!AQ$95:AQ$274),),ROW(A23))-94),"")</f>
        <v>MASTER CARTON, 6SETS SUB (LZ1/U)</v>
      </c>
      <c r="Q183" s="254"/>
    </row>
    <row r="184" spans="4:17" x14ac:dyDescent="0.4">
      <c r="D184" t="str">
        <f>IFERROR(INDEX('Total-T7.2019'!D$95:D$274,1/LARGE(INDEX(('Total-T7.2019'!AQ$95:AQ$274=N$11)*('Total-T7.2019'!AP$95:AP$274&lt;0)/ROW('Total-T7.2019'!AQ$95:AQ$274),),ROW(A24))-94),"")</f>
        <v>MASTER CARTON, 6SETS SUB (BZ1/CA / AE)</v>
      </c>
      <c r="Q184" s="254"/>
    </row>
    <row r="185" spans="4:17" x14ac:dyDescent="0.4">
      <c r="D185" t="str">
        <f>IFERROR(INDEX('Total-T7.2019'!D$95:D$274,1/LARGE(INDEX(('Total-T7.2019'!AQ$95:AQ$274=N$11)*('Total-T7.2019'!AP$95:AP$274&lt;0)/ROW('Total-T7.2019'!AQ$95:AQ$274),),ROW(A25))-94),"")</f>
        <v>MASTER CARTON, 6SETS SUB (HZ1/CA / AE)</v>
      </c>
      <c r="Q185" s="254"/>
    </row>
    <row r="186" spans="4:17" x14ac:dyDescent="0.4">
      <c r="D186" t="str">
        <f>IFERROR(INDEX('Total-T7.2019'!D$95:D$274,1/LARGE(INDEX(('Total-T7.2019'!AQ$95:AQ$274=N$11)*('Total-T7.2019'!AP$95:AP$274&lt;0)/ROW('Total-T7.2019'!AQ$95:AQ$274),),ROW(A26))-94),"")</f>
        <v>MASTER CARTON, 6SETS SUB (PZ1/CA / AE)</v>
      </c>
      <c r="Q186" s="254"/>
    </row>
    <row r="187" spans="4:17" x14ac:dyDescent="0.4">
      <c r="D187" t="str">
        <f>IFERROR(INDEX('Total-T7.2019'!D$95:D$274,1/LARGE(INDEX(('Total-T7.2019'!AQ$95:AQ$274=N$11)*('Total-T7.2019'!AP$95:AP$274&lt;0)/ROW('Total-T7.2019'!AQ$95:AQ$274),),ROW(A27))-94),"")</f>
        <v>MASTER CARTON, 6SETS SUB (LZ1/CA / AE)</v>
      </c>
      <c r="Q187" s="254"/>
    </row>
    <row r="188" spans="4:17" x14ac:dyDescent="0.4">
      <c r="D188" t="str">
        <f>IFERROR(INDEX('Total-T7.2019'!D$95:D$274,1/LARGE(INDEX(('Total-T7.2019'!AQ$95:AQ$274=N$11)*('Total-T7.2019'!AP$95:AP$274&lt;0)/ROW('Total-T7.2019'!AQ$95:AQ$274),),ROW(A28))-94),"")</f>
        <v/>
      </c>
      <c r="Q188" s="254"/>
    </row>
    <row r="189" spans="4:17" x14ac:dyDescent="0.4">
      <c r="D189" t="str">
        <f>IFERROR(INDEX('Total-T7.2019'!D$95:D$274,1/LARGE(INDEX(('Total-T7.2019'!AQ$95:AQ$274=N$11)*('Total-T7.2019'!AP$95:AP$274&lt;0)/ROW('Total-T7.2019'!AQ$95:AQ$274),),ROW(A29))-94),"")</f>
        <v/>
      </c>
    </row>
    <row r="190" spans="4:17" x14ac:dyDescent="0.4">
      <c r="D190" t="str">
        <f>IFERROR(INDEX('Total-T7.2019'!D$95:D$274,1/LARGE(INDEX(('Total-T7.2019'!AQ$95:AQ$274=N$11)*('Total-T7.2019'!AP$95:AP$274&lt;0)/ROW('Total-T7.2019'!AQ$95:AQ$274),),ROW(A30))-94),"")</f>
        <v/>
      </c>
    </row>
    <row r="191" spans="4:17" x14ac:dyDescent="0.4">
      <c r="D191" t="str">
        <f>IFERROR(INDEX('Total-T7.2019'!D$95:D$274,1/LARGE(INDEX(('Total-T7.2019'!AQ$95:AQ$274=N$11)*('Total-T7.2019'!AP$95:AP$274&lt;0)/ROW('Total-T7.2019'!AQ$95:AQ$274),),ROW(A31))-94),"")</f>
        <v/>
      </c>
    </row>
    <row r="192" spans="4:17" x14ac:dyDescent="0.4">
      <c r="D192" t="str">
        <f>IFERROR(INDEX('Total-T7.2019'!D$95:D$274,1/LARGE(INDEX(('Total-T7.2019'!AQ$95:AQ$274=N$11)*('Total-T7.2019'!AP$95:AP$274&lt;0)/ROW('Total-T7.2019'!AQ$95:AQ$274),),ROW(A32))-94),"")</f>
        <v/>
      </c>
    </row>
    <row r="193" spans="4:4" x14ac:dyDescent="0.4">
      <c r="D193" t="str">
        <f>IFERROR(INDEX('Total-T7.2019'!D$95:D$274,1/LARGE(INDEX(('Total-T7.2019'!AQ$95:AQ$274=N$11)*('Total-T7.2019'!AP$95:AP$274&lt;0)/ROW('Total-T7.2019'!AQ$95:AQ$274),),ROW(A33))-94),"")</f>
        <v/>
      </c>
    </row>
    <row r="194" spans="4:4" x14ac:dyDescent="0.4">
      <c r="D194" t="str">
        <f>IFERROR(INDEX('Total-T7.2019'!D$95:D$274,1/LARGE(INDEX(('Total-T7.2019'!AQ$95:AQ$274=N$11)*('Total-T7.2019'!AP$95:AP$274&lt;0)/ROW('Total-T7.2019'!AQ$95:AQ$274),),ROW(A34))-94),"")</f>
        <v/>
      </c>
    </row>
    <row r="195" spans="4:4" x14ac:dyDescent="0.4">
      <c r="D195" t="str">
        <f>IFERROR(INDEX('Total-T7.2019'!D$95:D$274,1/LARGE(INDEX(('Total-T7.2019'!AQ$95:AQ$274=N$11)*('Total-T7.2019'!AP$95:AP$274&lt;0)/ROW('Total-T7.2019'!AQ$95:AQ$274),),ROW(A35))-94),"")</f>
        <v/>
      </c>
    </row>
    <row r="196" spans="4:4" x14ac:dyDescent="0.4">
      <c r="D196" t="str">
        <f>IFERROR(INDEX('Total-T7.2019'!D$95:D$274,1/LARGE(INDEX(('Total-T7.2019'!AQ$95:AQ$274=N$11)*('Total-T7.2019'!AP$95:AP$274&lt;0)/ROW('Total-T7.2019'!AQ$95:AQ$274),),ROW(A36))-94),"")</f>
        <v/>
      </c>
    </row>
    <row r="197" spans="4:4" x14ac:dyDescent="0.4">
      <c r="D197" t="str">
        <f>IFERROR(INDEX('Total-T7.2019'!D$95:D$274,1/LARGE(INDEX(('Total-T7.2019'!AQ$95:AQ$274=N$11)*('Total-T7.2019'!AP$95:AP$274&lt;0)/ROW('Total-T7.2019'!AQ$95:AQ$274),),ROW(A37))-94),"")</f>
        <v/>
      </c>
    </row>
    <row r="198" spans="4:4" x14ac:dyDescent="0.4">
      <c r="D198" t="str">
        <f>IFERROR(INDEX('Total-T7.2019'!D$95:D$274,1/LARGE(INDEX(('Total-T7.2019'!AQ$95:AQ$274=N$11)*('Total-T7.2019'!AP$95:AP$274&lt;0)/ROW('Total-T7.2019'!AQ$95:AQ$274),),ROW(A38))-94),"")</f>
        <v/>
      </c>
    </row>
    <row r="199" spans="4:4" x14ac:dyDescent="0.4">
      <c r="D199" t="str">
        <f>IFERROR(INDEX('Total-T7.2019'!D$95:D$274,1/LARGE(INDEX(('Total-T7.2019'!AQ$95:AQ$274=N$11)*('Total-T7.2019'!AP$95:AP$274&lt;0)/ROW('Total-T7.2019'!AQ$95:AQ$274),),ROW(A39))-94),"")</f>
        <v/>
      </c>
    </row>
    <row r="200" spans="4:4" x14ac:dyDescent="0.4">
      <c r="D200" t="str">
        <f>IFERROR(INDEX('Total-T7.2019'!D$95:D$274,1/LARGE(INDEX(('Total-T7.2019'!AQ$95:AQ$274=N$11)*('Total-T7.2019'!AP$95:AP$274&lt;0)/ROW('Total-T7.2019'!AQ$95:AQ$274),),ROW(A40))-94),"")</f>
        <v/>
      </c>
    </row>
    <row r="201" spans="4:4" x14ac:dyDescent="0.4">
      <c r="D201" t="str">
        <f>IFERROR(INDEX('Total-T7.2019'!D$95:D$274,1/LARGE(INDEX(('Total-T7.2019'!AQ$95:AQ$274=N$11)*('Total-T7.2019'!AP$95:AP$274&lt;0)/ROW('Total-T7.2019'!AQ$95:AQ$274),),ROW(A41))-94),"")</f>
        <v/>
      </c>
    </row>
    <row r="202" spans="4:4" x14ac:dyDescent="0.4">
      <c r="D202" t="str">
        <f>IFERROR(INDEX('Total-T7.2019'!D$95:D$274,1/LARGE(INDEX(('Total-T7.2019'!AQ$95:AQ$274=N$11)*('Total-T7.2019'!AP$95:AP$274&lt;0)/ROW('Total-T7.2019'!AQ$95:AQ$274),),ROW(A42))-94),"")</f>
        <v/>
      </c>
    </row>
    <row r="203" spans="4:4" x14ac:dyDescent="0.4">
      <c r="D203" t="str">
        <f>IFERROR(INDEX('Total-T7.2019'!D$95:D$274,1/LARGE(INDEX(('Total-T7.2019'!AQ$95:AQ$274=N$11)*('Total-T7.2019'!AP$95:AP$274&lt;0)/ROW('Total-T7.2019'!AQ$95:AQ$274),),ROW(A43))-94),"")</f>
        <v/>
      </c>
    </row>
    <row r="204" spans="4:4" x14ac:dyDescent="0.4">
      <c r="D204" t="str">
        <f>IFERROR(INDEX('Total-T7.2019'!D$95:D$274,1/LARGE(INDEX(('Total-T7.2019'!AQ$95:AQ$274=N$11)*('Total-T7.2019'!AP$95:AP$274&lt;0)/ROW('Total-T7.2019'!AQ$95:AQ$274),),ROW(A44))-94),"")</f>
        <v/>
      </c>
    </row>
    <row r="205" spans="4:4" x14ac:dyDescent="0.4">
      <c r="D205" t="str">
        <f>IFERROR(INDEX('Total-T7.2019'!D$95:D$274,1/LARGE(INDEX(('Total-T7.2019'!AQ$95:AQ$274=N$11)*('Total-T7.2019'!AP$95:AP$274&lt;0)/ROW('Total-T7.2019'!AQ$95:AQ$274),),ROW(A45))-94),"")</f>
        <v/>
      </c>
    </row>
    <row r="206" spans="4:4" x14ac:dyDescent="0.4">
      <c r="D206" t="str">
        <f>IFERROR(INDEX('Total-T7.2019'!D$95:D$274,1/LARGE(INDEX(('Total-T7.2019'!AQ$95:AQ$274=N$11)*('Total-T7.2019'!AP$95:AP$274&lt;0)/ROW('Total-T7.2019'!AQ$95:AQ$274),),ROW(A46))-94),"")</f>
        <v/>
      </c>
    </row>
    <row r="207" spans="4:4" x14ac:dyDescent="0.4">
      <c r="D207" t="str">
        <f>IFERROR(INDEX('Total-T7.2019'!D$95:D$274,1/LARGE(INDEX(('Total-T7.2019'!AQ$95:AQ$274=N$11)*('Total-T7.2019'!AP$95:AP$274&lt;0)/ROW('Total-T7.2019'!AQ$95:AQ$274),),ROW(A47))-94),"")</f>
        <v/>
      </c>
    </row>
    <row r="208" spans="4:4" x14ac:dyDescent="0.4">
      <c r="D208" t="str">
        <f>IFERROR(INDEX('Total-T7.2019'!D$95:D$274,1/LARGE(INDEX(('Total-T7.2019'!AQ$95:AQ$274=N$11)*('Total-T7.2019'!AP$95:AP$274&lt;0)/ROW('Total-T7.2019'!AQ$95:AQ$274),),ROW(A48))-94),"")</f>
        <v/>
      </c>
    </row>
    <row r="209" spans="4:4" x14ac:dyDescent="0.4">
      <c r="D209" t="str">
        <f>IFERROR(INDEX('Total-T7.2019'!D$95:D$274,1/LARGE(INDEX(('Total-T7.2019'!AQ$95:AQ$274=N$11)*('Total-T7.2019'!AP$95:AP$274&lt;0)/ROW('Total-T7.2019'!AQ$95:AQ$274),),ROW(A49))-94),"")</f>
        <v/>
      </c>
    </row>
    <row r="210" spans="4:4" x14ac:dyDescent="0.4">
      <c r="D210" t="str">
        <f>IFERROR(INDEX('Total-T7.2019'!D$95:D$274,1/LARGE(INDEX(('Total-T7.2019'!AQ$95:AQ$274=N$11)*('Total-T7.2019'!AP$95:AP$274&lt;0)/ROW('Total-T7.2019'!AQ$95:AQ$274),),ROW(A50))-94),"")</f>
        <v/>
      </c>
    </row>
    <row r="211" spans="4:4" x14ac:dyDescent="0.4">
      <c r="D211" t="str">
        <f>IFERROR(INDEX('Total-T7.2019'!D$95:D$274,1/LARGE(INDEX(('Total-T7.2019'!AQ$95:AQ$274=N$11)*('Total-T7.2019'!AP$95:AP$274&lt;0)/ROW('Total-T7.2019'!AQ$95:AQ$274),),ROW(A51))-94),"")</f>
        <v/>
      </c>
    </row>
    <row r="212" spans="4:4" x14ac:dyDescent="0.4">
      <c r="D212" t="str">
        <f>IFERROR(INDEX('Total-T7.2019'!D$95:D$274,1/LARGE(INDEX(('Total-T7.2019'!AQ$95:AQ$274=N$11)*('Total-T7.2019'!AP$95:AP$274&lt;0)/ROW('Total-T7.2019'!AQ$95:AQ$274),),ROW(A52))-94),"")</f>
        <v/>
      </c>
    </row>
    <row r="213" spans="4:4" x14ac:dyDescent="0.4">
      <c r="D213" t="str">
        <f>IFERROR(INDEX('Total-T7.2019'!D$95:D$274,1/LARGE(INDEX(('Total-T7.2019'!AQ$95:AQ$274=N$11)*('Total-T7.2019'!AP$95:AP$274&lt;0)/ROW('Total-T7.2019'!AQ$95:AQ$274),),ROW(A53))-94),"")</f>
        <v/>
      </c>
    </row>
    <row r="214" spans="4:4" x14ac:dyDescent="0.4">
      <c r="D214" t="str">
        <f>IFERROR(INDEX('Total-T7.2019'!D$95:D$274,1/LARGE(INDEX(('Total-T7.2019'!AQ$95:AQ$274=N$11)*('Total-T7.2019'!AP$95:AP$274&lt;0)/ROW('Total-T7.2019'!AQ$95:AQ$274),),ROW(A54))-94),"")</f>
        <v/>
      </c>
    </row>
    <row r="215" spans="4:4" x14ac:dyDescent="0.4">
      <c r="D215" t="str">
        <f>IFERROR(INDEX('Total-T7.2019'!D$95:D$274,1/LARGE(INDEX(('Total-T7.2019'!AQ$95:AQ$274=N$11)*('Total-T7.2019'!AP$95:AP$274&lt;0)/ROW('Total-T7.2019'!AQ$95:AQ$274),),ROW(A55))-94),"")</f>
        <v/>
      </c>
    </row>
    <row r="216" spans="4:4" x14ac:dyDescent="0.4">
      <c r="D216" t="str">
        <f>IFERROR(INDEX('Total-T7.2019'!D$95:D$274,1/LARGE(INDEX(('Total-T7.2019'!AQ$95:AQ$274=N$11)*('Total-T7.2019'!AP$95:AP$274&lt;0)/ROW('Total-T7.2019'!AQ$95:AQ$274),),ROW(A56))-94),"")</f>
        <v/>
      </c>
    </row>
    <row r="217" spans="4:4" x14ac:dyDescent="0.4">
      <c r="D217" t="str">
        <f>IFERROR(INDEX('Total-T7.2019'!D$95:D$274,1/LARGE(INDEX(('Total-T7.2019'!AQ$95:AQ$274=N$11)*('Total-T7.2019'!AP$95:AP$274&lt;0)/ROW('Total-T7.2019'!AQ$95:AQ$274),),ROW(A57))-94),"")</f>
        <v/>
      </c>
    </row>
    <row r="218" spans="4:4" x14ac:dyDescent="0.4">
      <c r="D218" t="str">
        <f>IFERROR(INDEX('Total-T7.2019'!D$95:D$274,1/LARGE(INDEX(('Total-T7.2019'!AQ$95:AQ$274=N$11)*('Total-T7.2019'!AP$95:AP$274&lt;0)/ROW('Total-T7.2019'!AQ$95:AQ$274),),ROW(A58))-94),"")</f>
        <v/>
      </c>
    </row>
    <row r="219" spans="4:4" x14ac:dyDescent="0.4">
      <c r="D219" t="str">
        <f>IFERROR(INDEX('Total-T7.2019'!D$95:D$274,1/LARGE(INDEX(('Total-T7.2019'!AQ$95:AQ$274=N$11)*('Total-T7.2019'!AP$95:AP$274&lt;0)/ROW('Total-T7.2019'!AQ$95:AQ$274),),ROW(A59))-94),"")</f>
        <v/>
      </c>
    </row>
    <row r="220" spans="4:4" x14ac:dyDescent="0.4">
      <c r="D220" t="str">
        <f>IFERROR(INDEX('Total-T7.2019'!D$95:D$274,1/LARGE(INDEX(('Total-T7.2019'!AQ$95:AQ$274=N$11)*('Total-T7.2019'!AP$95:AP$274&lt;0)/ROW('Total-T7.2019'!AQ$95:AQ$274),),ROW(A60))-94),"")</f>
        <v/>
      </c>
    </row>
    <row r="221" spans="4:4" x14ac:dyDescent="0.4">
      <c r="D221" t="str">
        <f>IFERROR(INDEX('Total-T7.2019'!D$95:D$274,1/LARGE(INDEX(('Total-T7.2019'!AQ$95:AQ$274=N$11)*('Total-T7.2019'!AP$95:AP$274&lt;0)/ROW('Total-T7.2019'!AQ$95:AQ$274),),ROW(A61))-94),"")</f>
        <v/>
      </c>
    </row>
    <row r="222" spans="4:4" x14ac:dyDescent="0.4">
      <c r="D222" t="str">
        <f>IFERROR(INDEX('Total-T7.2019'!D$95:D$274,1/LARGE(INDEX(('Total-T7.2019'!AQ$95:AQ$274=N$11)*('Total-T7.2019'!AP$95:AP$274&lt;0)/ROW('Total-T7.2019'!AQ$95:AQ$274),),ROW(A62))-94),"")</f>
        <v/>
      </c>
    </row>
    <row r="223" spans="4:4" x14ac:dyDescent="0.4">
      <c r="D223" t="str">
        <f>IFERROR(INDEX('Total-T7.2019'!D$95:D$274,1/LARGE(INDEX(('Total-T7.2019'!AQ$95:AQ$274=N$11)*('Total-T7.2019'!AP$95:AP$274&lt;0)/ROW('Total-T7.2019'!AQ$95:AQ$274),),ROW(A63))-94),"")</f>
        <v/>
      </c>
    </row>
    <row r="224" spans="4:4" x14ac:dyDescent="0.4">
      <c r="D224" t="str">
        <f>IFERROR(INDEX('Total-T7.2019'!D$95:D$274,1/LARGE(INDEX(('Total-T7.2019'!AQ$95:AQ$274=N$11)*('Total-T7.2019'!AP$95:AP$274&lt;0)/ROW('Total-T7.2019'!AQ$95:AQ$274),),ROW(A64))-94),"")</f>
        <v/>
      </c>
    </row>
    <row r="225" spans="4:4" x14ac:dyDescent="0.4">
      <c r="D225" t="str">
        <f>IFERROR(INDEX('Total-T7.2019'!D$95:D$274,1/LARGE(INDEX(('Total-T7.2019'!AQ$95:AQ$274=N$11)*('Total-T7.2019'!AP$95:AP$274&lt;0)/ROW('Total-T7.2019'!AQ$95:AQ$274),),ROW(A65))-94),"")</f>
        <v/>
      </c>
    </row>
    <row r="226" spans="4:4" x14ac:dyDescent="0.4">
      <c r="D226" t="str">
        <f>IFERROR(INDEX('Total-T7.2019'!D$95:D$274,1/LARGE(INDEX(('Total-T7.2019'!AQ$95:AQ$274=N$11)*('Total-T7.2019'!AP$95:AP$274&lt;0)/ROW('Total-T7.2019'!AQ$95:AQ$274),),ROW(A66))-94),"")</f>
        <v/>
      </c>
    </row>
    <row r="227" spans="4:4" x14ac:dyDescent="0.4">
      <c r="D227" t="str">
        <f>IFERROR(INDEX('Total-T7.2019'!D$95:D$274,1/LARGE(INDEX(('Total-T7.2019'!AQ$95:AQ$274=N$11)*('Total-T7.2019'!AP$95:AP$274&lt;0)/ROW('Total-T7.2019'!AQ$95:AQ$274),),ROW(A67))-94),"")</f>
        <v/>
      </c>
    </row>
    <row r="228" spans="4:4" x14ac:dyDescent="0.4">
      <c r="D228" t="str">
        <f>IFERROR(INDEX('Total-T7.2019'!D$95:D$274,1/LARGE(INDEX(('Total-T7.2019'!AQ$95:AQ$274=N$11)*('Total-T7.2019'!AP$95:AP$274&lt;0)/ROW('Total-T7.2019'!AQ$95:AQ$274),),ROW(A68))-94),"")</f>
        <v/>
      </c>
    </row>
    <row r="229" spans="4:4" x14ac:dyDescent="0.4">
      <c r="D229" t="str">
        <f>IFERROR(INDEX('Total-T7.2019'!D$95:D$274,1/LARGE(INDEX(('Total-T7.2019'!AQ$95:AQ$274=N$11)*('Total-T7.2019'!AP$95:AP$274&lt;0)/ROW('Total-T7.2019'!AQ$95:AQ$274),),ROW(A69))-94),"")</f>
        <v/>
      </c>
    </row>
    <row r="230" spans="4:4" x14ac:dyDescent="0.4">
      <c r="D230" t="str">
        <f>IFERROR(INDEX('Total-T7.2019'!D$95:D$274,1/LARGE(INDEX(('Total-T7.2019'!AQ$95:AQ$274=N$11)*('Total-T7.2019'!AP$95:AP$274&lt;0)/ROW('Total-T7.2019'!AQ$95:AQ$274),),ROW(A70))-94),"")</f>
        <v/>
      </c>
    </row>
    <row r="231" spans="4:4" x14ac:dyDescent="0.4">
      <c r="D231" t="str">
        <f>IFERROR(INDEX('Total-T7.2019'!D$95:D$274,1/LARGE(INDEX(('Total-T7.2019'!AQ$95:AQ$274=N$11)*('Total-T7.2019'!AP$95:AP$274&lt;0)/ROW('Total-T7.2019'!AQ$95:AQ$274),),ROW(A71))-94),"")</f>
        <v/>
      </c>
    </row>
    <row r="232" spans="4:4" x14ac:dyDescent="0.4">
      <c r="D232" t="str">
        <f>IFERROR(INDEX('Total-T7.2019'!D$95:D$274,1/LARGE(INDEX(('Total-T7.2019'!AQ$95:AQ$274=N$11)*('Total-T7.2019'!AP$95:AP$274&lt;0)/ROW('Total-T7.2019'!AQ$95:AQ$274),),ROW(A72))-94),"")</f>
        <v/>
      </c>
    </row>
    <row r="233" spans="4:4" x14ac:dyDescent="0.4">
      <c r="D233" t="str">
        <f>IFERROR(INDEX('Total-T7.2019'!D$95:D$274,1/LARGE(INDEX(('Total-T7.2019'!AQ$95:AQ$274=N$11)*('Total-T7.2019'!AP$95:AP$274&lt;0)/ROW('Total-T7.2019'!AQ$95:AQ$274),),ROW(A73))-94),"")</f>
        <v/>
      </c>
    </row>
    <row r="234" spans="4:4" x14ac:dyDescent="0.4">
      <c r="D234" t="str">
        <f>IFERROR(INDEX('Total-T7.2019'!D$95:D$274,1/LARGE(INDEX(('Total-T7.2019'!AQ$95:AQ$274=N$11)*('Total-T7.2019'!AP$95:AP$274&lt;0)/ROW('Total-T7.2019'!AQ$95:AQ$274),),ROW(A74))-94),"")</f>
        <v/>
      </c>
    </row>
    <row r="235" spans="4:4" x14ac:dyDescent="0.4">
      <c r="D235" t="str">
        <f>IFERROR(INDEX('Total-T7.2019'!D$95:D$274,1/LARGE(INDEX(('Total-T7.2019'!AQ$95:AQ$274=N$11)*('Total-T7.2019'!AP$95:AP$274&lt;0)/ROW('Total-T7.2019'!AQ$95:AQ$274),),ROW(A75))-94),"")</f>
        <v/>
      </c>
    </row>
    <row r="236" spans="4:4" x14ac:dyDescent="0.4">
      <c r="D236" t="str">
        <f>IFERROR(INDEX('Total-T7.2019'!D$95:D$274,1/LARGE(INDEX(('Total-T7.2019'!AQ$95:AQ$274=N$11)*('Total-T7.2019'!AP$95:AP$274&lt;0)/ROW('Total-T7.2019'!AQ$95:AQ$274),),ROW(A76))-94),"")</f>
        <v/>
      </c>
    </row>
    <row r="237" spans="4:4" x14ac:dyDescent="0.4">
      <c r="D237" t="str">
        <f>IFERROR(INDEX('Total-T7.2019'!D$95:D$274,1/LARGE(INDEX(('Total-T7.2019'!AQ$95:AQ$274=N$11)*('Total-T7.2019'!AP$95:AP$274&lt;0)/ROW('Total-T7.2019'!AQ$95:AQ$274),),ROW(A77))-94),"")</f>
        <v/>
      </c>
    </row>
    <row r="238" spans="4:4" x14ac:dyDescent="0.4">
      <c r="D238" t="str">
        <f>IFERROR(INDEX('Total-T7.2019'!D$95:D$274,1/LARGE(INDEX(('Total-T7.2019'!AQ$95:AQ$274=N$11)*('Total-T7.2019'!AP$95:AP$274&lt;0)/ROW('Total-T7.2019'!AQ$95:AQ$274),),ROW(A78))-94),"")</f>
        <v/>
      </c>
    </row>
    <row r="239" spans="4:4" x14ac:dyDescent="0.4">
      <c r="D239" t="str">
        <f>IFERROR(INDEX('Total-T7.2019'!D$95:D$274,1/LARGE(INDEX(('Total-T7.2019'!AQ$95:AQ$274=N$11)*('Total-T7.2019'!AP$95:AP$274&lt;0)/ROW('Total-T7.2019'!AQ$95:AQ$274),),ROW(A79))-94),"")</f>
        <v/>
      </c>
    </row>
    <row r="240" spans="4:4" x14ac:dyDescent="0.4">
      <c r="D240" t="str">
        <f>IFERROR(INDEX('Total-T7.2019'!D$95:D$274,1/LARGE(INDEX(('Total-T7.2019'!AQ$95:AQ$274=N$11)*('Total-T7.2019'!AP$95:AP$274&lt;0)/ROW('Total-T7.2019'!AQ$95:AQ$274),),ROW(A80))-94),"")</f>
        <v/>
      </c>
    </row>
    <row r="241" spans="4:4" x14ac:dyDescent="0.4">
      <c r="D241" t="str">
        <f>IFERROR(INDEX('Total-T7.2019'!D$95:D$274,1/LARGE(INDEX(('Total-T7.2019'!AQ$95:AQ$274=N$11)*('Total-T7.2019'!AP$95:AP$274&lt;0)/ROW('Total-T7.2019'!AQ$95:AQ$274),),ROW(A81))-94),"")</f>
        <v/>
      </c>
    </row>
    <row r="242" spans="4:4" x14ac:dyDescent="0.4">
      <c r="D242" t="str">
        <f>IFERROR(INDEX('Total-T7.2019'!D$95:D$274,1/LARGE(INDEX(('Total-T7.2019'!AQ$95:AQ$274=N$11)*('Total-T7.2019'!AP$95:AP$274&lt;0)/ROW('Total-T7.2019'!AQ$95:AQ$274),),ROW(A82))-94),"")</f>
        <v/>
      </c>
    </row>
    <row r="243" spans="4:4" x14ac:dyDescent="0.4">
      <c r="D243" t="str">
        <f>IFERROR(INDEX('Total-T7.2019'!D$95:D$274,1/LARGE(INDEX(('Total-T7.2019'!AQ$95:AQ$274=N$11)*('Total-T7.2019'!AP$95:AP$274&lt;0)/ROW('Total-T7.2019'!AQ$95:AQ$274),),ROW(A83))-94),"")</f>
        <v/>
      </c>
    </row>
    <row r="244" spans="4:4" x14ac:dyDescent="0.4">
      <c r="D244" t="str">
        <f>IFERROR(INDEX('Total-T7.2019'!D$95:D$274,1/LARGE(INDEX(('Total-T7.2019'!AQ$95:AQ$274=N$11)*('Total-T7.2019'!AP$95:AP$274&lt;0)/ROW('Total-T7.2019'!AQ$95:AQ$274),),ROW(A84))-94),"")</f>
        <v/>
      </c>
    </row>
    <row r="245" spans="4:4" x14ac:dyDescent="0.4">
      <c r="D245" t="str">
        <f>IFERROR(INDEX('Total-T7.2019'!D$95:D$274,1/LARGE(INDEX(('Total-T7.2019'!AQ$95:AQ$274=N$11)*('Total-T7.2019'!AP$95:AP$274&lt;0)/ROW('Total-T7.2019'!AQ$95:AQ$274),),ROW(A85))-94),"")</f>
        <v/>
      </c>
    </row>
    <row r="246" spans="4:4" x14ac:dyDescent="0.4">
      <c r="D246" t="str">
        <f>IFERROR(INDEX('Total-T7.2019'!D$95:D$274,1/LARGE(INDEX(('Total-T7.2019'!AQ$95:AQ$274=N$11)*('Total-T7.2019'!AP$95:AP$274&lt;0)/ROW('Total-T7.2019'!AQ$95:AQ$274),),ROW(A86))-94),"")</f>
        <v/>
      </c>
    </row>
    <row r="247" spans="4:4" x14ac:dyDescent="0.4">
      <c r="D247" t="str">
        <f>IFERROR(INDEX('Total-T7.2019'!D$95:D$274,1/LARGE(INDEX(('Total-T7.2019'!AQ$95:AQ$274=N$11)*('Total-T7.2019'!AP$95:AP$274&lt;0)/ROW('Total-T7.2019'!AQ$95:AQ$274),),ROW(A87))-94),"")</f>
        <v/>
      </c>
    </row>
    <row r="248" spans="4:4" x14ac:dyDescent="0.4">
      <c r="D248" t="str">
        <f>IFERROR(INDEX('Total-T7.2019'!D$95:D$274,1/LARGE(INDEX(('Total-T7.2019'!AQ$95:AQ$274=N$11)*('Total-T7.2019'!AP$95:AP$274&lt;0)/ROW('Total-T7.2019'!AQ$95:AQ$274),),ROW(A88))-94),"")</f>
        <v/>
      </c>
    </row>
    <row r="249" spans="4:4" x14ac:dyDescent="0.4">
      <c r="D249" t="str">
        <f>IFERROR(INDEX('Total-T7.2019'!D$95:D$274,1/LARGE(INDEX(('Total-T7.2019'!AQ$95:AQ$274=N$11)*('Total-T7.2019'!AP$95:AP$274&lt;0)/ROW('Total-T7.2019'!AQ$95:AQ$274),),ROW(A89))-94),"")</f>
        <v/>
      </c>
    </row>
  </sheetData>
  <mergeCells count="15">
    <mergeCell ref="J6:L6"/>
    <mergeCell ref="B7:B8"/>
    <mergeCell ref="C7:G8"/>
    <mergeCell ref="H7:I7"/>
    <mergeCell ref="H8:I8"/>
    <mergeCell ref="J8:L8"/>
    <mergeCell ref="B101:L101"/>
    <mergeCell ref="K102:L102"/>
    <mergeCell ref="C9:D9"/>
    <mergeCell ref="F9:G9"/>
    <mergeCell ref="H9:I9"/>
    <mergeCell ref="J9:L9"/>
    <mergeCell ref="B100:F100"/>
    <mergeCell ref="G100:I100"/>
    <mergeCell ref="J100:K100"/>
  </mergeCells>
  <phoneticPr fontId="21" type="noConversion"/>
  <dataValidations count="1">
    <dataValidation type="list" allowBlank="1" showInputMessage="1" showErrorMessage="1" sqref="N11" xr:uid="{BE727032-AA7D-429F-8013-011585582FC5}">
      <formula1>$F$162:$F$175</formula1>
    </dataValidation>
  </dataValidations>
  <pageMargins left="0.7" right="0.7" top="0.75" bottom="0.75" header="0.3" footer="0.3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onfirm">
              <controlPr defaultSize="0" print="0" autoFill="0" autoPict="0" macro="[0]!Sheet8.Macro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K269"/>
  <sheetViews>
    <sheetView topLeftCell="B1" workbookViewId="0">
      <pane xSplit="5" ySplit="4" topLeftCell="G5" activePane="bottomRight" state="frozen"/>
      <selection activeCell="B1" sqref="B1"/>
      <selection pane="topRight" activeCell="G1" sqref="G1"/>
      <selection pane="bottomLeft" activeCell="B7" sqref="B7"/>
      <selection pane="bottomRight" activeCell="D13" sqref="D13"/>
    </sheetView>
  </sheetViews>
  <sheetFormatPr defaultColWidth="9.09765625" defaultRowHeight="13.8" x14ac:dyDescent="0.25"/>
  <cols>
    <col min="1" max="1" width="4.8984375" style="1" customWidth="1"/>
    <col min="2" max="2" width="12.3984375" style="1" customWidth="1"/>
    <col min="3" max="3" width="25" style="1" customWidth="1"/>
    <col min="4" max="4" width="44.8984375" style="1" customWidth="1"/>
    <col min="5" max="5" width="9.09765625" style="1"/>
    <col min="6" max="6" width="17" style="1" customWidth="1"/>
    <col min="7" max="16384" width="9.09765625" style="1"/>
  </cols>
  <sheetData>
    <row r="1" spans="1:37" x14ac:dyDescent="0.25">
      <c r="A1" s="323" t="s">
        <v>580</v>
      </c>
      <c r="B1" s="323"/>
      <c r="C1" s="323"/>
      <c r="D1" s="323"/>
      <c r="E1" s="323"/>
      <c r="F1" s="323"/>
      <c r="G1" s="323"/>
      <c r="I1" s="1">
        <f>130000/40</f>
        <v>3250</v>
      </c>
    </row>
    <row r="2" spans="1:37" x14ac:dyDescent="0.25">
      <c r="A2" s="324"/>
      <c r="B2" s="324"/>
      <c r="C2" s="324"/>
      <c r="D2" s="324"/>
      <c r="E2" s="324"/>
      <c r="F2" s="324"/>
      <c r="G2" s="324"/>
    </row>
    <row r="3" spans="1:37" ht="30" customHeight="1" x14ac:dyDescent="0.35">
      <c r="A3" s="55" t="s">
        <v>2</v>
      </c>
      <c r="B3" s="55" t="s">
        <v>3</v>
      </c>
      <c r="C3" s="55" t="s">
        <v>531</v>
      </c>
      <c r="D3" s="55" t="s">
        <v>4</v>
      </c>
      <c r="E3" s="56" t="s">
        <v>35</v>
      </c>
      <c r="F3" s="311" t="s">
        <v>532</v>
      </c>
      <c r="G3" s="320" t="s">
        <v>533</v>
      </c>
      <c r="H3" s="321"/>
      <c r="I3" s="321"/>
      <c r="J3" s="321"/>
      <c r="K3" s="321"/>
      <c r="L3" s="321"/>
      <c r="M3" s="321"/>
      <c r="N3" s="321"/>
      <c r="O3" s="321"/>
      <c r="P3" s="321"/>
      <c r="Q3" s="321"/>
      <c r="R3" s="321"/>
      <c r="S3" s="321"/>
      <c r="T3" s="321"/>
      <c r="U3" s="321"/>
      <c r="V3" s="321"/>
      <c r="W3" s="321"/>
      <c r="X3" s="321"/>
      <c r="Y3" s="321"/>
      <c r="Z3" s="321"/>
      <c r="AA3" s="321"/>
      <c r="AB3" s="321"/>
      <c r="AC3" s="321"/>
      <c r="AD3" s="321"/>
      <c r="AE3" s="321"/>
      <c r="AF3" s="321"/>
      <c r="AG3" s="321"/>
      <c r="AH3" s="321"/>
      <c r="AI3" s="321"/>
      <c r="AJ3" s="321"/>
      <c r="AK3" s="322"/>
    </row>
    <row r="4" spans="1:37" ht="27" customHeight="1" x14ac:dyDescent="0.35">
      <c r="A4" s="325" t="s">
        <v>581</v>
      </c>
      <c r="B4" s="326"/>
      <c r="C4" s="326"/>
      <c r="D4" s="326"/>
      <c r="E4" s="57"/>
      <c r="F4" s="312"/>
      <c r="G4" s="19">
        <v>1</v>
      </c>
      <c r="H4" s="19">
        <v>2</v>
      </c>
      <c r="I4" s="19">
        <v>3</v>
      </c>
      <c r="J4" s="19">
        <v>4</v>
      </c>
      <c r="K4" s="19">
        <v>5</v>
      </c>
      <c r="L4" s="19">
        <v>6</v>
      </c>
      <c r="M4" s="19">
        <v>7</v>
      </c>
      <c r="N4" s="19">
        <v>8</v>
      </c>
      <c r="O4" s="19">
        <v>9</v>
      </c>
      <c r="P4" s="19">
        <v>10</v>
      </c>
      <c r="Q4" s="19">
        <v>11</v>
      </c>
      <c r="R4" s="19">
        <v>12</v>
      </c>
      <c r="S4" s="19">
        <v>13</v>
      </c>
      <c r="T4" s="19">
        <v>14</v>
      </c>
      <c r="U4" s="19">
        <v>15</v>
      </c>
      <c r="V4" s="19">
        <v>16</v>
      </c>
      <c r="W4" s="19">
        <v>17</v>
      </c>
      <c r="X4" s="19">
        <v>18</v>
      </c>
      <c r="Y4" s="19">
        <v>19</v>
      </c>
      <c r="Z4" s="19">
        <v>20</v>
      </c>
      <c r="AA4" s="19">
        <v>21</v>
      </c>
      <c r="AB4" s="19">
        <v>22</v>
      </c>
      <c r="AC4" s="19">
        <v>23</v>
      </c>
      <c r="AD4" s="19">
        <v>24</v>
      </c>
      <c r="AE4" s="19">
        <v>25</v>
      </c>
      <c r="AF4" s="19">
        <v>26</v>
      </c>
      <c r="AG4" s="19">
        <v>27</v>
      </c>
      <c r="AH4" s="19">
        <v>28</v>
      </c>
      <c r="AI4" s="19">
        <v>29</v>
      </c>
      <c r="AJ4" s="19">
        <v>30</v>
      </c>
      <c r="AK4" s="19">
        <v>31</v>
      </c>
    </row>
    <row r="5" spans="1:37" ht="18" customHeight="1" x14ac:dyDescent="0.25">
      <c r="A5" s="3">
        <v>1</v>
      </c>
      <c r="B5" s="313" t="s">
        <v>37</v>
      </c>
      <c r="C5" s="4" t="s">
        <v>38</v>
      </c>
      <c r="D5" s="5" t="s">
        <v>39</v>
      </c>
      <c r="E5" s="50" t="s">
        <v>525</v>
      </c>
      <c r="F5" s="63">
        <f>SUM(G5:AK5)</f>
        <v>0</v>
      </c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</row>
    <row r="6" spans="1:37" x14ac:dyDescent="0.25">
      <c r="A6" s="3">
        <v>2</v>
      </c>
      <c r="B6" s="309"/>
      <c r="C6" s="4" t="s">
        <v>40</v>
      </c>
      <c r="D6" s="6" t="s">
        <v>41</v>
      </c>
      <c r="E6" s="50" t="s">
        <v>525</v>
      </c>
      <c r="F6" s="63">
        <f t="shared" ref="F6:F69" si="0">SUM(G6:AK6)</f>
        <v>0</v>
      </c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</row>
    <row r="7" spans="1:37" x14ac:dyDescent="0.25">
      <c r="A7" s="3">
        <v>3</v>
      </c>
      <c r="B7" s="309"/>
      <c r="C7" s="4" t="s">
        <v>42</v>
      </c>
      <c r="D7" s="7" t="s">
        <v>43</v>
      </c>
      <c r="E7" s="50" t="s">
        <v>525</v>
      </c>
      <c r="F7" s="63">
        <f t="shared" si="0"/>
        <v>0</v>
      </c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</row>
    <row r="8" spans="1:37" x14ac:dyDescent="0.25">
      <c r="A8" s="3">
        <v>4</v>
      </c>
      <c r="B8" s="310"/>
      <c r="C8" s="4" t="s">
        <v>44</v>
      </c>
      <c r="D8" s="8" t="s">
        <v>45</v>
      </c>
      <c r="E8" s="50" t="s">
        <v>525</v>
      </c>
      <c r="F8" s="63">
        <f t="shared" si="0"/>
        <v>0</v>
      </c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</row>
    <row r="9" spans="1:37" x14ac:dyDescent="0.25">
      <c r="A9" s="3">
        <v>5</v>
      </c>
      <c r="B9" s="313" t="s">
        <v>46</v>
      </c>
      <c r="C9" s="4" t="s">
        <v>47</v>
      </c>
      <c r="D9" s="5" t="s">
        <v>39</v>
      </c>
      <c r="E9" s="50" t="s">
        <v>525</v>
      </c>
      <c r="F9" s="63">
        <f t="shared" si="0"/>
        <v>0</v>
      </c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</row>
    <row r="10" spans="1:37" x14ac:dyDescent="0.25">
      <c r="A10" s="3">
        <v>6</v>
      </c>
      <c r="B10" s="309"/>
      <c r="C10" s="4" t="s">
        <v>48</v>
      </c>
      <c r="D10" s="6" t="s">
        <v>41</v>
      </c>
      <c r="E10" s="50" t="s">
        <v>525</v>
      </c>
      <c r="F10" s="63">
        <f t="shared" si="0"/>
        <v>0</v>
      </c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</row>
    <row r="11" spans="1:37" x14ac:dyDescent="0.25">
      <c r="A11" s="3">
        <v>7</v>
      </c>
      <c r="B11" s="309"/>
      <c r="C11" s="4" t="s">
        <v>49</v>
      </c>
      <c r="D11" s="7" t="s">
        <v>50</v>
      </c>
      <c r="E11" s="50" t="s">
        <v>525</v>
      </c>
      <c r="F11" s="63">
        <f t="shared" si="0"/>
        <v>0</v>
      </c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</row>
    <row r="12" spans="1:37" x14ac:dyDescent="0.25">
      <c r="A12" s="3">
        <v>8</v>
      </c>
      <c r="B12" s="309"/>
      <c r="C12" s="4" t="s">
        <v>51</v>
      </c>
      <c r="D12" s="7" t="s">
        <v>43</v>
      </c>
      <c r="E12" s="50" t="s">
        <v>525</v>
      </c>
      <c r="F12" s="63">
        <f t="shared" si="0"/>
        <v>0</v>
      </c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</row>
    <row r="13" spans="1:37" x14ac:dyDescent="0.25">
      <c r="A13" s="3">
        <v>9</v>
      </c>
      <c r="B13" s="310"/>
      <c r="C13" s="4" t="s">
        <v>52</v>
      </c>
      <c r="D13" s="8" t="s">
        <v>45</v>
      </c>
      <c r="E13" s="50" t="s">
        <v>525</v>
      </c>
      <c r="F13" s="63">
        <f t="shared" si="0"/>
        <v>0</v>
      </c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</row>
    <row r="14" spans="1:37" x14ac:dyDescent="0.25">
      <c r="A14" s="3">
        <v>10</v>
      </c>
      <c r="B14" s="313" t="s">
        <v>53</v>
      </c>
      <c r="C14" s="4" t="s">
        <v>54</v>
      </c>
      <c r="D14" s="5" t="s">
        <v>39</v>
      </c>
      <c r="E14" s="50" t="s">
        <v>525</v>
      </c>
      <c r="F14" s="63">
        <f t="shared" si="0"/>
        <v>0</v>
      </c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</row>
    <row r="15" spans="1:37" x14ac:dyDescent="0.25">
      <c r="A15" s="3">
        <v>11</v>
      </c>
      <c r="B15" s="310"/>
      <c r="C15" s="4" t="s">
        <v>55</v>
      </c>
      <c r="D15" s="6" t="s">
        <v>41</v>
      </c>
      <c r="E15" s="50" t="s">
        <v>525</v>
      </c>
      <c r="F15" s="63">
        <f t="shared" si="0"/>
        <v>0</v>
      </c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</row>
    <row r="16" spans="1:37" x14ac:dyDescent="0.25">
      <c r="A16" s="3">
        <v>12</v>
      </c>
      <c r="B16" s="313" t="s">
        <v>56</v>
      </c>
      <c r="C16" s="9" t="s">
        <v>57</v>
      </c>
      <c r="D16" s="10" t="s">
        <v>58</v>
      </c>
      <c r="E16" s="50" t="s">
        <v>525</v>
      </c>
      <c r="F16" s="63">
        <f t="shared" si="0"/>
        <v>0</v>
      </c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</row>
    <row r="17" spans="1:37" x14ac:dyDescent="0.25">
      <c r="A17" s="3">
        <v>13</v>
      </c>
      <c r="B17" s="309"/>
      <c r="C17" s="4" t="s">
        <v>59</v>
      </c>
      <c r="D17" s="10" t="s">
        <v>58</v>
      </c>
      <c r="E17" s="50" t="s">
        <v>525</v>
      </c>
      <c r="F17" s="63">
        <f t="shared" si="0"/>
        <v>0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</row>
    <row r="18" spans="1:37" x14ac:dyDescent="0.25">
      <c r="A18" s="3">
        <v>14</v>
      </c>
      <c r="B18" s="310"/>
      <c r="C18" s="9" t="s">
        <v>60</v>
      </c>
      <c r="D18" s="10" t="s">
        <v>58</v>
      </c>
      <c r="E18" s="50" t="s">
        <v>525</v>
      </c>
      <c r="F18" s="63">
        <f t="shared" si="0"/>
        <v>0</v>
      </c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</row>
    <row r="19" spans="1:37" x14ac:dyDescent="0.25">
      <c r="A19" s="3">
        <v>15</v>
      </c>
      <c r="B19" s="306" t="s">
        <v>61</v>
      </c>
      <c r="C19" s="9" t="s">
        <v>62</v>
      </c>
      <c r="D19" s="10" t="s">
        <v>63</v>
      </c>
      <c r="E19" s="50" t="s">
        <v>525</v>
      </c>
      <c r="F19" s="63">
        <f t="shared" si="0"/>
        <v>0</v>
      </c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</row>
    <row r="20" spans="1:37" x14ac:dyDescent="0.25">
      <c r="A20" s="3">
        <v>16</v>
      </c>
      <c r="B20" s="307"/>
      <c r="C20" s="11" t="s">
        <v>64</v>
      </c>
      <c r="D20" s="10" t="s">
        <v>65</v>
      </c>
      <c r="E20" s="50" t="s">
        <v>525</v>
      </c>
      <c r="F20" s="63">
        <f t="shared" si="0"/>
        <v>0</v>
      </c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</row>
    <row r="21" spans="1:37" x14ac:dyDescent="0.25">
      <c r="A21" s="3">
        <v>17</v>
      </c>
      <c r="B21" s="307"/>
      <c r="C21" s="11" t="s">
        <v>66</v>
      </c>
      <c r="D21" s="10" t="s">
        <v>67</v>
      </c>
      <c r="E21" s="50" t="s">
        <v>525</v>
      </c>
      <c r="F21" s="63">
        <f t="shared" si="0"/>
        <v>0</v>
      </c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</row>
    <row r="22" spans="1:37" x14ac:dyDescent="0.25">
      <c r="A22" s="3">
        <v>18</v>
      </c>
      <c r="B22" s="307"/>
      <c r="C22" s="11" t="s">
        <v>68</v>
      </c>
      <c r="D22" s="10" t="s">
        <v>69</v>
      </c>
      <c r="E22" s="50" t="s">
        <v>525</v>
      </c>
      <c r="F22" s="63">
        <f t="shared" si="0"/>
        <v>0</v>
      </c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</row>
    <row r="23" spans="1:37" x14ac:dyDescent="0.25">
      <c r="A23" s="3">
        <v>19</v>
      </c>
      <c r="B23" s="308"/>
      <c r="C23" s="11" t="s">
        <v>70</v>
      </c>
      <c r="D23" s="10" t="s">
        <v>71</v>
      </c>
      <c r="E23" s="50" t="s">
        <v>525</v>
      </c>
      <c r="F23" s="63">
        <f t="shared" si="0"/>
        <v>0</v>
      </c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</row>
    <row r="24" spans="1:37" x14ac:dyDescent="0.25">
      <c r="A24" s="3">
        <v>20</v>
      </c>
      <c r="B24" s="306" t="s">
        <v>72</v>
      </c>
      <c r="C24" s="9" t="s">
        <v>73</v>
      </c>
      <c r="D24" s="10" t="s">
        <v>74</v>
      </c>
      <c r="E24" s="50" t="s">
        <v>525</v>
      </c>
      <c r="F24" s="63">
        <f t="shared" si="0"/>
        <v>0</v>
      </c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</row>
    <row r="25" spans="1:37" x14ac:dyDescent="0.25">
      <c r="A25" s="3">
        <v>21</v>
      </c>
      <c r="B25" s="307"/>
      <c r="C25" s="9" t="s">
        <v>75</v>
      </c>
      <c r="D25" s="10" t="s">
        <v>76</v>
      </c>
      <c r="E25" s="50" t="s">
        <v>525</v>
      </c>
      <c r="F25" s="63">
        <f t="shared" si="0"/>
        <v>0</v>
      </c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</row>
    <row r="26" spans="1:37" x14ac:dyDescent="0.25">
      <c r="A26" s="3">
        <v>22</v>
      </c>
      <c r="B26" s="307"/>
      <c r="C26" s="9" t="s">
        <v>77</v>
      </c>
      <c r="D26" s="10" t="s">
        <v>78</v>
      </c>
      <c r="E26" s="50" t="s">
        <v>525</v>
      </c>
      <c r="F26" s="63">
        <f t="shared" si="0"/>
        <v>0</v>
      </c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</row>
    <row r="27" spans="1:37" x14ac:dyDescent="0.25">
      <c r="A27" s="3">
        <v>23</v>
      </c>
      <c r="B27" s="308"/>
      <c r="C27" s="9" t="s">
        <v>79</v>
      </c>
      <c r="D27" s="10" t="s">
        <v>80</v>
      </c>
      <c r="E27" s="50" t="s">
        <v>525</v>
      </c>
      <c r="F27" s="63">
        <f t="shared" si="0"/>
        <v>0</v>
      </c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</row>
    <row r="28" spans="1:37" x14ac:dyDescent="0.25">
      <c r="A28" s="3">
        <v>24</v>
      </c>
      <c r="B28" s="306" t="s">
        <v>81</v>
      </c>
      <c r="C28" s="11" t="s">
        <v>82</v>
      </c>
      <c r="D28" s="10" t="s">
        <v>83</v>
      </c>
      <c r="E28" s="50" t="s">
        <v>525</v>
      </c>
      <c r="F28" s="63">
        <f t="shared" si="0"/>
        <v>47350</v>
      </c>
      <c r="G28" s="76">
        <v>12200</v>
      </c>
      <c r="H28" s="76">
        <v>35150</v>
      </c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</row>
    <row r="29" spans="1:37" x14ac:dyDescent="0.25">
      <c r="A29" s="3">
        <v>25</v>
      </c>
      <c r="B29" s="307"/>
      <c r="C29" s="11" t="s">
        <v>84</v>
      </c>
      <c r="D29" s="10" t="s">
        <v>85</v>
      </c>
      <c r="E29" s="50" t="s">
        <v>525</v>
      </c>
      <c r="F29" s="63">
        <f t="shared" si="0"/>
        <v>0</v>
      </c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</row>
    <row r="30" spans="1:37" x14ac:dyDescent="0.25">
      <c r="A30" s="3">
        <v>26</v>
      </c>
      <c r="B30" s="307"/>
      <c r="C30" s="11" t="s">
        <v>86</v>
      </c>
      <c r="D30" s="10" t="s">
        <v>87</v>
      </c>
      <c r="E30" s="50" t="s">
        <v>525</v>
      </c>
      <c r="F30" s="63">
        <f t="shared" si="0"/>
        <v>0</v>
      </c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</row>
    <row r="31" spans="1:37" x14ac:dyDescent="0.25">
      <c r="A31" s="3">
        <v>27</v>
      </c>
      <c r="B31" s="307"/>
      <c r="C31" s="11" t="s">
        <v>88</v>
      </c>
      <c r="D31" s="10" t="s">
        <v>89</v>
      </c>
      <c r="E31" s="50" t="s">
        <v>525</v>
      </c>
      <c r="F31" s="63">
        <f t="shared" si="0"/>
        <v>0</v>
      </c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</row>
    <row r="32" spans="1:37" x14ac:dyDescent="0.25">
      <c r="A32" s="3">
        <v>28</v>
      </c>
      <c r="B32" s="308"/>
      <c r="C32" s="11" t="s">
        <v>90</v>
      </c>
      <c r="D32" s="10" t="s">
        <v>91</v>
      </c>
      <c r="E32" s="50" t="s">
        <v>525</v>
      </c>
      <c r="F32" s="63">
        <f t="shared" si="0"/>
        <v>0</v>
      </c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</row>
    <row r="33" spans="1:37" x14ac:dyDescent="0.25">
      <c r="A33" s="3">
        <v>29</v>
      </c>
      <c r="B33" s="9" t="s">
        <v>92</v>
      </c>
      <c r="C33" s="9" t="s">
        <v>93</v>
      </c>
      <c r="D33" s="10" t="s">
        <v>94</v>
      </c>
      <c r="E33" s="50" t="s">
        <v>525</v>
      </c>
      <c r="F33" s="63">
        <f t="shared" si="0"/>
        <v>0</v>
      </c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</row>
    <row r="34" spans="1:37" x14ac:dyDescent="0.25">
      <c r="A34" s="3">
        <v>30</v>
      </c>
      <c r="B34" s="306" t="s">
        <v>95</v>
      </c>
      <c r="C34" s="9" t="s">
        <v>96</v>
      </c>
      <c r="D34" s="10" t="s">
        <v>97</v>
      </c>
      <c r="E34" s="50" t="s">
        <v>525</v>
      </c>
      <c r="F34" s="63">
        <f t="shared" si="0"/>
        <v>31000</v>
      </c>
      <c r="G34" s="76">
        <f>23000</f>
        <v>23000</v>
      </c>
      <c r="H34" s="76">
        <v>8000</v>
      </c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</row>
    <row r="35" spans="1:37" x14ac:dyDescent="0.25">
      <c r="A35" s="3">
        <v>31</v>
      </c>
      <c r="B35" s="307"/>
      <c r="C35" s="11" t="s">
        <v>98</v>
      </c>
      <c r="D35" s="10" t="s">
        <v>99</v>
      </c>
      <c r="E35" s="50" t="s">
        <v>525</v>
      </c>
      <c r="F35" s="63">
        <f t="shared" si="0"/>
        <v>11500</v>
      </c>
      <c r="G35" s="76"/>
      <c r="H35" s="76">
        <v>11500</v>
      </c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</row>
    <row r="36" spans="1:37" x14ac:dyDescent="0.25">
      <c r="A36" s="3">
        <v>32</v>
      </c>
      <c r="B36" s="307"/>
      <c r="C36" s="11" t="s">
        <v>100</v>
      </c>
      <c r="D36" s="10" t="s">
        <v>101</v>
      </c>
      <c r="E36" s="50" t="s">
        <v>525</v>
      </c>
      <c r="F36" s="63">
        <f t="shared" si="0"/>
        <v>21100</v>
      </c>
      <c r="G36" s="76">
        <f>8500+9000</f>
        <v>17500</v>
      </c>
      <c r="H36" s="76">
        <v>3600</v>
      </c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</row>
    <row r="37" spans="1:37" x14ac:dyDescent="0.25">
      <c r="A37" s="3">
        <v>33</v>
      </c>
      <c r="B37" s="307"/>
      <c r="C37" s="11" t="s">
        <v>102</v>
      </c>
      <c r="D37" s="10" t="s">
        <v>103</v>
      </c>
      <c r="E37" s="50" t="s">
        <v>525</v>
      </c>
      <c r="F37" s="63">
        <f t="shared" si="0"/>
        <v>0</v>
      </c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</row>
    <row r="38" spans="1:37" x14ac:dyDescent="0.25">
      <c r="A38" s="3">
        <v>34</v>
      </c>
      <c r="B38" s="306" t="s">
        <v>104</v>
      </c>
      <c r="C38" s="9" t="s">
        <v>105</v>
      </c>
      <c r="D38" s="10" t="s">
        <v>106</v>
      </c>
      <c r="E38" s="50" t="s">
        <v>525</v>
      </c>
      <c r="F38" s="63">
        <f t="shared" si="0"/>
        <v>24000</v>
      </c>
      <c r="G38" s="76">
        <v>12000</v>
      </c>
      <c r="H38" s="76">
        <v>12000</v>
      </c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</row>
    <row r="39" spans="1:37" x14ac:dyDescent="0.25">
      <c r="A39" s="3">
        <v>35</v>
      </c>
      <c r="B39" s="307"/>
      <c r="C39" s="11" t="s">
        <v>107</v>
      </c>
      <c r="D39" s="10" t="s">
        <v>108</v>
      </c>
      <c r="E39" s="50" t="s">
        <v>525</v>
      </c>
      <c r="F39" s="63">
        <f t="shared" si="0"/>
        <v>854</v>
      </c>
      <c r="G39" s="76"/>
      <c r="H39" s="76">
        <v>854</v>
      </c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</row>
    <row r="40" spans="1:37" x14ac:dyDescent="0.25">
      <c r="A40" s="3">
        <v>36</v>
      </c>
      <c r="B40" s="307"/>
      <c r="C40" s="11" t="s">
        <v>109</v>
      </c>
      <c r="D40" s="10" t="s">
        <v>110</v>
      </c>
      <c r="E40" s="50" t="s">
        <v>525</v>
      </c>
      <c r="F40" s="63">
        <f t="shared" si="0"/>
        <v>0</v>
      </c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</row>
    <row r="41" spans="1:37" x14ac:dyDescent="0.25">
      <c r="A41" s="3">
        <v>37</v>
      </c>
      <c r="B41" s="308"/>
      <c r="C41" s="11" t="s">
        <v>111</v>
      </c>
      <c r="D41" s="10" t="s">
        <v>112</v>
      </c>
      <c r="E41" s="50" t="s">
        <v>525</v>
      </c>
      <c r="F41" s="63">
        <f t="shared" si="0"/>
        <v>0</v>
      </c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</row>
    <row r="42" spans="1:37" x14ac:dyDescent="0.25">
      <c r="A42" s="3">
        <v>38</v>
      </c>
      <c r="B42" s="306" t="s">
        <v>113</v>
      </c>
      <c r="C42" s="9" t="s">
        <v>114</v>
      </c>
      <c r="D42" s="10" t="s">
        <v>115</v>
      </c>
      <c r="E42" s="50" t="s">
        <v>525</v>
      </c>
      <c r="F42" s="63">
        <f t="shared" si="0"/>
        <v>25000</v>
      </c>
      <c r="G42" s="76">
        <v>12000</v>
      </c>
      <c r="H42" s="76">
        <v>13000</v>
      </c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</row>
    <row r="43" spans="1:37" x14ac:dyDescent="0.25">
      <c r="A43" s="3">
        <v>39</v>
      </c>
      <c r="B43" s="309"/>
      <c r="C43" s="11" t="s">
        <v>116</v>
      </c>
      <c r="D43" s="10" t="s">
        <v>117</v>
      </c>
      <c r="E43" s="50" t="s">
        <v>525</v>
      </c>
      <c r="F43" s="63">
        <f t="shared" si="0"/>
        <v>1680</v>
      </c>
      <c r="G43" s="76"/>
      <c r="H43" s="76">
        <v>1680</v>
      </c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</row>
    <row r="44" spans="1:37" x14ac:dyDescent="0.25">
      <c r="A44" s="3">
        <v>40</v>
      </c>
      <c r="B44" s="309"/>
      <c r="C44" s="11" t="s">
        <v>118</v>
      </c>
      <c r="D44" s="10" t="s">
        <v>119</v>
      </c>
      <c r="E44" s="50" t="s">
        <v>525</v>
      </c>
      <c r="F44" s="63">
        <f t="shared" si="0"/>
        <v>0</v>
      </c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</row>
    <row r="45" spans="1:37" x14ac:dyDescent="0.25">
      <c r="A45" s="3">
        <v>41</v>
      </c>
      <c r="B45" s="310"/>
      <c r="C45" s="11" t="s">
        <v>120</v>
      </c>
      <c r="D45" s="10" t="s">
        <v>121</v>
      </c>
      <c r="E45" s="50" t="s">
        <v>525</v>
      </c>
      <c r="F45" s="63">
        <f t="shared" si="0"/>
        <v>0</v>
      </c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</row>
    <row r="46" spans="1:37" x14ac:dyDescent="0.25">
      <c r="A46" s="3">
        <v>42</v>
      </c>
      <c r="B46" s="306" t="s">
        <v>122</v>
      </c>
      <c r="C46" s="9" t="s">
        <v>123</v>
      </c>
      <c r="D46" s="10" t="s">
        <v>124</v>
      </c>
      <c r="E46" s="50" t="s">
        <v>525</v>
      </c>
      <c r="F46" s="63">
        <f t="shared" si="0"/>
        <v>0</v>
      </c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</row>
    <row r="47" spans="1:37" x14ac:dyDescent="0.25">
      <c r="A47" s="3">
        <v>43</v>
      </c>
      <c r="B47" s="308"/>
      <c r="C47" s="9" t="s">
        <v>125</v>
      </c>
      <c r="D47" s="10" t="s">
        <v>124</v>
      </c>
      <c r="E47" s="50" t="s">
        <v>525</v>
      </c>
      <c r="F47" s="63">
        <f t="shared" si="0"/>
        <v>0</v>
      </c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</row>
    <row r="48" spans="1:37" x14ac:dyDescent="0.25">
      <c r="A48" s="3">
        <v>44</v>
      </c>
      <c r="B48" s="330" t="s">
        <v>126</v>
      </c>
      <c r="C48" s="12"/>
      <c r="D48" s="12" t="s">
        <v>127</v>
      </c>
      <c r="E48" s="51" t="s">
        <v>526</v>
      </c>
      <c r="F48" s="63">
        <f t="shared" si="0"/>
        <v>0</v>
      </c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</row>
    <row r="49" spans="1:37" x14ac:dyDescent="0.25">
      <c r="A49" s="3">
        <v>45</v>
      </c>
      <c r="B49" s="331"/>
      <c r="C49" s="13" t="s">
        <v>128</v>
      </c>
      <c r="D49" s="12" t="s">
        <v>129</v>
      </c>
      <c r="E49" s="51" t="s">
        <v>526</v>
      </c>
      <c r="F49" s="63">
        <f t="shared" si="0"/>
        <v>0</v>
      </c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</row>
    <row r="50" spans="1:37" x14ac:dyDescent="0.25">
      <c r="A50" s="3">
        <v>46</v>
      </c>
      <c r="B50" s="332" t="s">
        <v>130</v>
      </c>
      <c r="C50" s="14" t="s">
        <v>131</v>
      </c>
      <c r="D50" s="15" t="s">
        <v>132</v>
      </c>
      <c r="E50" s="52" t="s">
        <v>526</v>
      </c>
      <c r="F50" s="63">
        <f t="shared" si="0"/>
        <v>0</v>
      </c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</row>
    <row r="51" spans="1:37" x14ac:dyDescent="0.25">
      <c r="A51" s="3">
        <v>47</v>
      </c>
      <c r="B51" s="333"/>
      <c r="C51" s="14" t="s">
        <v>133</v>
      </c>
      <c r="D51" s="16" t="s">
        <v>134</v>
      </c>
      <c r="E51" s="52" t="s">
        <v>527</v>
      </c>
      <c r="F51" s="63">
        <f t="shared" si="0"/>
        <v>0</v>
      </c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</row>
    <row r="52" spans="1:37" x14ac:dyDescent="0.25">
      <c r="A52" s="3">
        <v>48</v>
      </c>
      <c r="B52" s="333"/>
      <c r="C52" s="14" t="s">
        <v>135</v>
      </c>
      <c r="D52" s="16" t="s">
        <v>136</v>
      </c>
      <c r="E52" s="52" t="s">
        <v>526</v>
      </c>
      <c r="F52" s="63">
        <f t="shared" si="0"/>
        <v>0</v>
      </c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</row>
    <row r="53" spans="1:37" x14ac:dyDescent="0.25">
      <c r="A53" s="3">
        <v>49</v>
      </c>
      <c r="B53" s="333"/>
      <c r="C53" s="14" t="s">
        <v>135</v>
      </c>
      <c r="D53" s="16">
        <v>11495</v>
      </c>
      <c r="E53" s="52" t="s">
        <v>526</v>
      </c>
      <c r="F53" s="63">
        <f t="shared" si="0"/>
        <v>0</v>
      </c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</row>
    <row r="54" spans="1:37" x14ac:dyDescent="0.25">
      <c r="A54" s="3">
        <v>50</v>
      </c>
      <c r="B54" s="333"/>
      <c r="C54" s="14" t="s">
        <v>135</v>
      </c>
      <c r="D54" s="16" t="s">
        <v>137</v>
      </c>
      <c r="E54" s="52" t="s">
        <v>526</v>
      </c>
      <c r="F54" s="63">
        <f t="shared" si="0"/>
        <v>0</v>
      </c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</row>
    <row r="55" spans="1:37" x14ac:dyDescent="0.25">
      <c r="A55" s="3">
        <v>51</v>
      </c>
      <c r="B55" s="334"/>
      <c r="C55" s="14" t="s">
        <v>135</v>
      </c>
      <c r="D55" s="16" t="s">
        <v>138</v>
      </c>
      <c r="E55" s="52" t="s">
        <v>526</v>
      </c>
      <c r="F55" s="63">
        <f t="shared" si="0"/>
        <v>0</v>
      </c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</row>
    <row r="56" spans="1:37" x14ac:dyDescent="0.25">
      <c r="A56" s="3">
        <v>52</v>
      </c>
      <c r="B56" s="332" t="s">
        <v>139</v>
      </c>
      <c r="C56" s="14" t="s">
        <v>131</v>
      </c>
      <c r="D56" s="16" t="s">
        <v>140</v>
      </c>
      <c r="E56" s="52" t="s">
        <v>526</v>
      </c>
      <c r="F56" s="63">
        <f t="shared" si="0"/>
        <v>0</v>
      </c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</row>
    <row r="57" spans="1:37" x14ac:dyDescent="0.25">
      <c r="A57" s="3">
        <v>53</v>
      </c>
      <c r="B57" s="333"/>
      <c r="C57" s="14" t="s">
        <v>133</v>
      </c>
      <c r="D57" s="16" t="s">
        <v>141</v>
      </c>
      <c r="E57" s="52" t="s">
        <v>527</v>
      </c>
      <c r="F57" s="63">
        <f t="shared" si="0"/>
        <v>0</v>
      </c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</row>
    <row r="58" spans="1:37" x14ac:dyDescent="0.25">
      <c r="A58" s="3">
        <v>54</v>
      </c>
      <c r="B58" s="333"/>
      <c r="C58" s="14" t="s">
        <v>133</v>
      </c>
      <c r="D58" s="16" t="s">
        <v>142</v>
      </c>
      <c r="E58" s="52" t="s">
        <v>527</v>
      </c>
      <c r="F58" s="63">
        <f t="shared" si="0"/>
        <v>0</v>
      </c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</row>
    <row r="59" spans="1:37" x14ac:dyDescent="0.25">
      <c r="A59" s="3">
        <v>55</v>
      </c>
      <c r="B59" s="333"/>
      <c r="C59" s="14" t="s">
        <v>133</v>
      </c>
      <c r="D59" s="16" t="s">
        <v>143</v>
      </c>
      <c r="E59" s="52" t="s">
        <v>527</v>
      </c>
      <c r="F59" s="63">
        <f t="shared" si="0"/>
        <v>0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</row>
    <row r="60" spans="1:37" x14ac:dyDescent="0.25">
      <c r="A60" s="3">
        <v>56</v>
      </c>
      <c r="B60" s="334"/>
      <c r="C60" s="14" t="s">
        <v>135</v>
      </c>
      <c r="D60" s="16" t="s">
        <v>144</v>
      </c>
      <c r="E60" s="52" t="s">
        <v>526</v>
      </c>
      <c r="F60" s="63">
        <f t="shared" si="0"/>
        <v>0</v>
      </c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</row>
    <row r="61" spans="1:37" x14ac:dyDescent="0.25">
      <c r="A61" s="3">
        <v>57</v>
      </c>
      <c r="B61" s="317" t="s">
        <v>145</v>
      </c>
      <c r="C61" s="14" t="s">
        <v>146</v>
      </c>
      <c r="D61" s="16" t="s">
        <v>147</v>
      </c>
      <c r="E61" s="52" t="s">
        <v>526</v>
      </c>
      <c r="F61" s="63">
        <f t="shared" si="0"/>
        <v>0</v>
      </c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</row>
    <row r="62" spans="1:37" x14ac:dyDescent="0.25">
      <c r="A62" s="3">
        <v>58</v>
      </c>
      <c r="B62" s="318"/>
      <c r="C62" s="14" t="s">
        <v>135</v>
      </c>
      <c r="D62" s="16" t="s">
        <v>148</v>
      </c>
      <c r="E62" s="52" t="s">
        <v>526</v>
      </c>
      <c r="F62" s="63">
        <f t="shared" si="0"/>
        <v>0</v>
      </c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</row>
    <row r="63" spans="1:37" x14ac:dyDescent="0.25">
      <c r="A63" s="3">
        <v>59</v>
      </c>
      <c r="B63" s="318"/>
      <c r="C63" s="14" t="s">
        <v>135</v>
      </c>
      <c r="D63" s="16" t="s">
        <v>149</v>
      </c>
      <c r="E63" s="52" t="s">
        <v>526</v>
      </c>
      <c r="F63" s="63">
        <f t="shared" si="0"/>
        <v>0</v>
      </c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</row>
    <row r="64" spans="1:37" x14ac:dyDescent="0.25">
      <c r="A64" s="3">
        <v>60</v>
      </c>
      <c r="B64" s="318"/>
      <c r="C64" s="14" t="s">
        <v>135</v>
      </c>
      <c r="D64" s="16" t="s">
        <v>150</v>
      </c>
      <c r="E64" s="52" t="s">
        <v>526</v>
      </c>
      <c r="F64" s="63">
        <f t="shared" si="0"/>
        <v>0</v>
      </c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</row>
    <row r="65" spans="1:37" x14ac:dyDescent="0.25">
      <c r="A65" s="3">
        <v>61</v>
      </c>
      <c r="B65" s="319"/>
      <c r="C65" s="14" t="s">
        <v>135</v>
      </c>
      <c r="D65" s="16" t="s">
        <v>151</v>
      </c>
      <c r="E65" s="52" t="s">
        <v>526</v>
      </c>
      <c r="F65" s="63">
        <f t="shared" si="0"/>
        <v>0</v>
      </c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</row>
    <row r="66" spans="1:37" x14ac:dyDescent="0.25">
      <c r="A66" s="3">
        <v>62</v>
      </c>
      <c r="B66" s="317" t="s">
        <v>152</v>
      </c>
      <c r="C66" s="14" t="s">
        <v>131</v>
      </c>
      <c r="D66" s="16" t="s">
        <v>153</v>
      </c>
      <c r="E66" s="52" t="s">
        <v>526</v>
      </c>
      <c r="F66" s="63">
        <f t="shared" si="0"/>
        <v>0</v>
      </c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</row>
    <row r="67" spans="1:37" x14ac:dyDescent="0.25">
      <c r="A67" s="3">
        <v>63</v>
      </c>
      <c r="B67" s="318"/>
      <c r="C67" s="14" t="s">
        <v>131</v>
      </c>
      <c r="D67" s="16" t="s">
        <v>154</v>
      </c>
      <c r="E67" s="52" t="s">
        <v>526</v>
      </c>
      <c r="F67" s="63">
        <f t="shared" si="0"/>
        <v>0</v>
      </c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</row>
    <row r="68" spans="1:37" x14ac:dyDescent="0.25">
      <c r="A68" s="3">
        <v>64</v>
      </c>
      <c r="B68" s="318"/>
      <c r="C68" s="14" t="s">
        <v>133</v>
      </c>
      <c r="D68" s="16" t="s">
        <v>155</v>
      </c>
      <c r="E68" s="52" t="s">
        <v>527</v>
      </c>
      <c r="F68" s="63">
        <f t="shared" si="0"/>
        <v>0</v>
      </c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</row>
    <row r="69" spans="1:37" x14ac:dyDescent="0.25">
      <c r="A69" s="3">
        <v>65</v>
      </c>
      <c r="B69" s="318"/>
      <c r="C69" s="14" t="s">
        <v>133</v>
      </c>
      <c r="D69" s="16" t="s">
        <v>156</v>
      </c>
      <c r="E69" s="52" t="s">
        <v>527</v>
      </c>
      <c r="F69" s="63">
        <f t="shared" si="0"/>
        <v>0</v>
      </c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  <c r="AJ69" s="76"/>
      <c r="AK69" s="76"/>
    </row>
    <row r="70" spans="1:37" x14ac:dyDescent="0.25">
      <c r="A70" s="3">
        <v>66</v>
      </c>
      <c r="B70" s="318"/>
      <c r="C70" s="14" t="s">
        <v>133</v>
      </c>
      <c r="D70" s="16" t="s">
        <v>157</v>
      </c>
      <c r="E70" s="52" t="s">
        <v>527</v>
      </c>
      <c r="F70" s="63">
        <f t="shared" ref="F70:F88" si="1">SUM(G70:AK70)</f>
        <v>0</v>
      </c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76"/>
      <c r="AK70" s="76"/>
    </row>
    <row r="71" spans="1:37" x14ac:dyDescent="0.25">
      <c r="A71" s="3">
        <v>67</v>
      </c>
      <c r="B71" s="318"/>
      <c r="C71" s="14" t="s">
        <v>133</v>
      </c>
      <c r="D71" s="16">
        <v>11301</v>
      </c>
      <c r="E71" s="52" t="s">
        <v>527</v>
      </c>
      <c r="F71" s="63">
        <f t="shared" si="1"/>
        <v>0</v>
      </c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6"/>
      <c r="AH71" s="76"/>
      <c r="AI71" s="76"/>
      <c r="AJ71" s="76"/>
      <c r="AK71" s="76"/>
    </row>
    <row r="72" spans="1:37" x14ac:dyDescent="0.25">
      <c r="A72" s="3">
        <v>68</v>
      </c>
      <c r="B72" s="318"/>
      <c r="C72" s="14" t="s">
        <v>133</v>
      </c>
      <c r="D72" s="16">
        <v>51238</v>
      </c>
      <c r="E72" s="52" t="s">
        <v>527</v>
      </c>
      <c r="F72" s="63">
        <f t="shared" si="1"/>
        <v>0</v>
      </c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</row>
    <row r="73" spans="1:37" x14ac:dyDescent="0.25">
      <c r="A73" s="3">
        <v>69</v>
      </c>
      <c r="B73" s="318"/>
      <c r="C73" s="14" t="s">
        <v>133</v>
      </c>
      <c r="D73" s="16" t="s">
        <v>158</v>
      </c>
      <c r="E73" s="52" t="s">
        <v>527</v>
      </c>
      <c r="F73" s="63">
        <f t="shared" si="1"/>
        <v>0</v>
      </c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</row>
    <row r="74" spans="1:37" x14ac:dyDescent="0.25">
      <c r="A74" s="3">
        <v>70</v>
      </c>
      <c r="B74" s="318"/>
      <c r="C74" s="14" t="s">
        <v>133</v>
      </c>
      <c r="D74" s="16" t="s">
        <v>159</v>
      </c>
      <c r="E74" s="52" t="s">
        <v>527</v>
      </c>
      <c r="F74" s="63">
        <f t="shared" si="1"/>
        <v>0</v>
      </c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</row>
    <row r="75" spans="1:37" x14ac:dyDescent="0.25">
      <c r="A75" s="3">
        <v>71</v>
      </c>
      <c r="B75" s="319"/>
      <c r="C75" s="14" t="s">
        <v>133</v>
      </c>
      <c r="D75" s="16" t="s">
        <v>160</v>
      </c>
      <c r="E75" s="52" t="s">
        <v>527</v>
      </c>
      <c r="F75" s="63">
        <f t="shared" si="1"/>
        <v>0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</row>
    <row r="76" spans="1:37" x14ac:dyDescent="0.25">
      <c r="A76" s="3">
        <v>72</v>
      </c>
      <c r="B76" s="317" t="s">
        <v>161</v>
      </c>
      <c r="C76" s="14"/>
      <c r="D76" s="16" t="s">
        <v>162</v>
      </c>
      <c r="E76" s="52" t="s">
        <v>526</v>
      </c>
      <c r="F76" s="63">
        <f t="shared" si="1"/>
        <v>1000</v>
      </c>
      <c r="G76" s="76"/>
      <c r="H76" s="76">
        <v>1000</v>
      </c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</row>
    <row r="77" spans="1:37" x14ac:dyDescent="0.25">
      <c r="A77" s="3">
        <v>73</v>
      </c>
      <c r="B77" s="318"/>
      <c r="C77" s="14" t="s">
        <v>133</v>
      </c>
      <c r="D77" s="16" t="s">
        <v>163</v>
      </c>
      <c r="E77" s="52" t="s">
        <v>527</v>
      </c>
      <c r="F77" s="63">
        <f t="shared" si="1"/>
        <v>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</row>
    <row r="78" spans="1:37" x14ac:dyDescent="0.25">
      <c r="A78" s="3">
        <v>74</v>
      </c>
      <c r="B78" s="319"/>
      <c r="C78" s="14"/>
      <c r="D78" s="16" t="s">
        <v>164</v>
      </c>
      <c r="E78" s="52" t="s">
        <v>526</v>
      </c>
      <c r="F78" s="63">
        <f t="shared" si="1"/>
        <v>0</v>
      </c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</row>
    <row r="79" spans="1:37" x14ac:dyDescent="0.25">
      <c r="A79" s="3">
        <v>75</v>
      </c>
      <c r="B79" s="317" t="s">
        <v>165</v>
      </c>
      <c r="C79" s="14" t="s">
        <v>133</v>
      </c>
      <c r="D79" s="16" t="s">
        <v>166</v>
      </c>
      <c r="E79" s="52" t="s">
        <v>527</v>
      </c>
      <c r="F79" s="63">
        <f t="shared" si="1"/>
        <v>0</v>
      </c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</row>
    <row r="80" spans="1:37" x14ac:dyDescent="0.25">
      <c r="A80" s="3">
        <v>76</v>
      </c>
      <c r="B80" s="318"/>
      <c r="C80" s="14" t="s">
        <v>133</v>
      </c>
      <c r="D80" s="16" t="s">
        <v>167</v>
      </c>
      <c r="E80" s="52" t="s">
        <v>527</v>
      </c>
      <c r="F80" s="63">
        <f t="shared" si="1"/>
        <v>0</v>
      </c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</row>
    <row r="81" spans="1:37" x14ac:dyDescent="0.25">
      <c r="A81" s="3">
        <v>77</v>
      </c>
      <c r="B81" s="318"/>
      <c r="C81" s="14" t="s">
        <v>133</v>
      </c>
      <c r="D81" s="16" t="s">
        <v>168</v>
      </c>
      <c r="E81" s="52" t="s">
        <v>527</v>
      </c>
      <c r="F81" s="63">
        <f t="shared" si="1"/>
        <v>0</v>
      </c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</row>
    <row r="82" spans="1:37" x14ac:dyDescent="0.25">
      <c r="A82" s="3">
        <v>78</v>
      </c>
      <c r="B82" s="318"/>
      <c r="C82" s="14" t="s">
        <v>133</v>
      </c>
      <c r="D82" s="16" t="s">
        <v>169</v>
      </c>
      <c r="E82" s="52" t="s">
        <v>527</v>
      </c>
      <c r="F82" s="63">
        <f t="shared" si="1"/>
        <v>0</v>
      </c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</row>
    <row r="83" spans="1:37" x14ac:dyDescent="0.25">
      <c r="A83" s="3">
        <v>79</v>
      </c>
      <c r="B83" s="318"/>
      <c r="C83" s="14" t="s">
        <v>133</v>
      </c>
      <c r="D83" s="16" t="s">
        <v>170</v>
      </c>
      <c r="E83" s="52" t="s">
        <v>527</v>
      </c>
      <c r="F83" s="63">
        <f t="shared" si="1"/>
        <v>0</v>
      </c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</row>
    <row r="84" spans="1:37" x14ac:dyDescent="0.25">
      <c r="A84" s="3">
        <v>80</v>
      </c>
      <c r="B84" s="17"/>
      <c r="C84" s="14"/>
      <c r="D84" s="18" t="s">
        <v>171</v>
      </c>
      <c r="E84" s="52" t="s">
        <v>526</v>
      </c>
      <c r="F84" s="63">
        <f t="shared" si="1"/>
        <v>0</v>
      </c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</row>
    <row r="85" spans="1:37" x14ac:dyDescent="0.25">
      <c r="A85" s="3">
        <v>81</v>
      </c>
      <c r="B85" s="17"/>
      <c r="C85" s="14"/>
      <c r="D85" s="18" t="s">
        <v>172</v>
      </c>
      <c r="E85" s="52" t="s">
        <v>526</v>
      </c>
      <c r="F85" s="63">
        <f t="shared" si="1"/>
        <v>0</v>
      </c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</row>
    <row r="86" spans="1:37" x14ac:dyDescent="0.25">
      <c r="A86" s="3">
        <v>82</v>
      </c>
      <c r="B86" s="17"/>
      <c r="C86" s="14"/>
      <c r="D86" s="18" t="s">
        <v>173</v>
      </c>
      <c r="E86" s="52" t="s">
        <v>526</v>
      </c>
      <c r="F86" s="63">
        <f t="shared" si="1"/>
        <v>0</v>
      </c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</row>
    <row r="87" spans="1:37" x14ac:dyDescent="0.25">
      <c r="A87" s="3">
        <v>83</v>
      </c>
      <c r="B87" s="19"/>
      <c r="C87" s="19"/>
      <c r="D87" s="20" t="s">
        <v>174</v>
      </c>
      <c r="E87" s="52" t="s">
        <v>526</v>
      </c>
      <c r="F87" s="63">
        <f t="shared" si="1"/>
        <v>0</v>
      </c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6"/>
      <c r="AJ87" s="76"/>
      <c r="AK87" s="76"/>
    </row>
    <row r="88" spans="1:37" x14ac:dyDescent="0.25">
      <c r="A88" s="3">
        <v>84</v>
      </c>
      <c r="B88" s="17"/>
      <c r="C88" s="14"/>
      <c r="D88" s="18" t="s">
        <v>175</v>
      </c>
      <c r="E88" s="52" t="s">
        <v>526</v>
      </c>
      <c r="F88" s="63">
        <f t="shared" si="1"/>
        <v>0</v>
      </c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76"/>
      <c r="AG88" s="76"/>
      <c r="AH88" s="76"/>
      <c r="AI88" s="76"/>
      <c r="AJ88" s="76"/>
      <c r="AK88" s="76"/>
    </row>
    <row r="89" spans="1:37" ht="31.8" x14ac:dyDescent="0.5">
      <c r="A89" s="327" t="s">
        <v>176</v>
      </c>
      <c r="B89" s="328"/>
      <c r="C89" s="328"/>
      <c r="D89" s="328"/>
      <c r="E89" s="328"/>
      <c r="F89" s="328"/>
      <c r="G89" s="328"/>
      <c r="H89" s="328"/>
      <c r="I89" s="328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  <c r="U89" s="328"/>
      <c r="V89" s="328"/>
      <c r="W89" s="328"/>
      <c r="X89" s="328"/>
      <c r="Y89" s="328"/>
      <c r="Z89" s="328"/>
      <c r="AA89" s="328"/>
      <c r="AB89" s="328"/>
      <c r="AC89" s="328"/>
      <c r="AD89" s="328"/>
      <c r="AE89" s="328"/>
      <c r="AF89" s="328"/>
      <c r="AG89" s="328"/>
      <c r="AH89" s="328"/>
      <c r="AI89" s="328"/>
      <c r="AJ89" s="328"/>
      <c r="AK89" s="329"/>
    </row>
    <row r="90" spans="1:37" ht="26.4" x14ac:dyDescent="0.25">
      <c r="A90" s="3">
        <v>1</v>
      </c>
      <c r="B90" s="306" t="s">
        <v>177</v>
      </c>
      <c r="C90" s="21" t="s">
        <v>178</v>
      </c>
      <c r="D90" s="22" t="s">
        <v>179</v>
      </c>
      <c r="E90" s="45" t="s">
        <v>525</v>
      </c>
      <c r="F90" s="63">
        <f>SUM(G90:AK90)</f>
        <v>3000</v>
      </c>
      <c r="G90" s="76"/>
      <c r="H90" s="76">
        <v>3000</v>
      </c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76"/>
      <c r="AG90" s="76"/>
      <c r="AH90" s="76"/>
      <c r="AI90" s="76"/>
      <c r="AJ90" s="76"/>
      <c r="AK90" s="76"/>
    </row>
    <row r="91" spans="1:37" x14ac:dyDescent="0.25">
      <c r="A91" s="3">
        <v>2</v>
      </c>
      <c r="B91" s="307"/>
      <c r="C91" s="23" t="s">
        <v>180</v>
      </c>
      <c r="D91" s="6" t="s">
        <v>181</v>
      </c>
      <c r="E91" s="50" t="s">
        <v>525</v>
      </c>
      <c r="F91" s="63">
        <f t="shared" ref="F91:F154" si="2">SUM(G91:AK91)</f>
        <v>0</v>
      </c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</row>
    <row r="92" spans="1:37" x14ac:dyDescent="0.25">
      <c r="A92" s="3">
        <v>3</v>
      </c>
      <c r="B92" s="307"/>
      <c r="C92" s="23" t="s">
        <v>182</v>
      </c>
      <c r="D92" s="7" t="s">
        <v>183</v>
      </c>
      <c r="E92" s="50" t="s">
        <v>525</v>
      </c>
      <c r="F92" s="63">
        <f t="shared" si="2"/>
        <v>2000</v>
      </c>
      <c r="G92" s="76">
        <v>2000</v>
      </c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  <c r="AF92" s="76"/>
      <c r="AG92" s="76"/>
      <c r="AH92" s="76"/>
      <c r="AI92" s="76"/>
      <c r="AJ92" s="76"/>
      <c r="AK92" s="76"/>
    </row>
    <row r="93" spans="1:37" x14ac:dyDescent="0.25">
      <c r="A93" s="3">
        <v>4</v>
      </c>
      <c r="B93" s="308"/>
      <c r="C93" s="23" t="s">
        <v>184</v>
      </c>
      <c r="D93" s="8" t="s">
        <v>185</v>
      </c>
      <c r="E93" s="50" t="s">
        <v>525</v>
      </c>
      <c r="F93" s="63">
        <f t="shared" si="2"/>
        <v>0</v>
      </c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</row>
    <row r="94" spans="1:37" x14ac:dyDescent="0.25">
      <c r="A94" s="3">
        <v>5</v>
      </c>
      <c r="B94" s="306" t="s">
        <v>186</v>
      </c>
      <c r="C94" s="23" t="s">
        <v>187</v>
      </c>
      <c r="D94" s="22" t="s">
        <v>179</v>
      </c>
      <c r="E94" s="50" t="s">
        <v>525</v>
      </c>
      <c r="F94" s="63">
        <f t="shared" si="2"/>
        <v>9000</v>
      </c>
      <c r="G94" s="76">
        <v>6000</v>
      </c>
      <c r="H94" s="76">
        <v>3000</v>
      </c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</row>
    <row r="95" spans="1:37" x14ac:dyDescent="0.25">
      <c r="A95" s="3">
        <v>6</v>
      </c>
      <c r="B95" s="307"/>
      <c r="C95" s="23" t="s">
        <v>188</v>
      </c>
      <c r="D95" s="6" t="s">
        <v>181</v>
      </c>
      <c r="E95" s="50" t="s">
        <v>525</v>
      </c>
      <c r="F95" s="63">
        <f t="shared" si="2"/>
        <v>0</v>
      </c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</row>
    <row r="96" spans="1:37" x14ac:dyDescent="0.25">
      <c r="A96" s="3">
        <v>7</v>
      </c>
      <c r="B96" s="307"/>
      <c r="C96" s="23" t="s">
        <v>189</v>
      </c>
      <c r="D96" s="7" t="s">
        <v>190</v>
      </c>
      <c r="E96" s="50" t="s">
        <v>525</v>
      </c>
      <c r="F96" s="63">
        <f t="shared" si="2"/>
        <v>0</v>
      </c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</row>
    <row r="97" spans="1:37" x14ac:dyDescent="0.25">
      <c r="A97" s="3">
        <v>8</v>
      </c>
      <c r="B97" s="307"/>
      <c r="C97" s="23" t="s">
        <v>191</v>
      </c>
      <c r="D97" s="7" t="s">
        <v>183</v>
      </c>
      <c r="E97" s="50" t="s">
        <v>525</v>
      </c>
      <c r="F97" s="63">
        <f t="shared" si="2"/>
        <v>0</v>
      </c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</row>
    <row r="98" spans="1:37" x14ac:dyDescent="0.25">
      <c r="A98" s="3">
        <v>9</v>
      </c>
      <c r="B98" s="308"/>
      <c r="C98" s="23" t="s">
        <v>192</v>
      </c>
      <c r="D98" s="8" t="s">
        <v>185</v>
      </c>
      <c r="E98" s="50" t="s">
        <v>525</v>
      </c>
      <c r="F98" s="63">
        <f t="shared" si="2"/>
        <v>0</v>
      </c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</row>
    <row r="99" spans="1:37" x14ac:dyDescent="0.25">
      <c r="A99" s="3">
        <v>10</v>
      </c>
      <c r="B99" s="306" t="s">
        <v>193</v>
      </c>
      <c r="C99" s="23" t="s">
        <v>194</v>
      </c>
      <c r="D99" s="22" t="s">
        <v>179</v>
      </c>
      <c r="E99" s="50" t="s">
        <v>525</v>
      </c>
      <c r="F99" s="63">
        <f t="shared" si="2"/>
        <v>0</v>
      </c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</row>
    <row r="100" spans="1:37" x14ac:dyDescent="0.25">
      <c r="A100" s="3">
        <v>11</v>
      </c>
      <c r="B100" s="308"/>
      <c r="C100" s="23" t="s">
        <v>195</v>
      </c>
      <c r="D100" s="6" t="s">
        <v>181</v>
      </c>
      <c r="E100" s="50" t="s">
        <v>525</v>
      </c>
      <c r="F100" s="63">
        <f t="shared" si="2"/>
        <v>0</v>
      </c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</row>
    <row r="101" spans="1:37" x14ac:dyDescent="0.25">
      <c r="A101" s="3">
        <v>12</v>
      </c>
      <c r="B101" s="335" t="s">
        <v>196</v>
      </c>
      <c r="C101" s="24" t="s">
        <v>197</v>
      </c>
      <c r="D101" s="25" t="s">
        <v>198</v>
      </c>
      <c r="E101" s="50" t="s">
        <v>525</v>
      </c>
      <c r="F101" s="63">
        <f t="shared" si="2"/>
        <v>0</v>
      </c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</row>
    <row r="102" spans="1:37" x14ac:dyDescent="0.25">
      <c r="A102" s="3">
        <v>13</v>
      </c>
      <c r="B102" s="336"/>
      <c r="C102" s="24" t="s">
        <v>199</v>
      </c>
      <c r="D102" s="25" t="s">
        <v>200</v>
      </c>
      <c r="E102" s="50" t="s">
        <v>525</v>
      </c>
      <c r="F102" s="63">
        <f t="shared" si="2"/>
        <v>0</v>
      </c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</row>
    <row r="103" spans="1:37" x14ac:dyDescent="0.25">
      <c r="A103" s="3">
        <v>14</v>
      </c>
      <c r="B103" s="336"/>
      <c r="C103" s="26" t="s">
        <v>201</v>
      </c>
      <c r="D103" s="27" t="s">
        <v>202</v>
      </c>
      <c r="E103" s="53" t="s">
        <v>525</v>
      </c>
      <c r="F103" s="63">
        <f t="shared" si="2"/>
        <v>0</v>
      </c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</row>
    <row r="104" spans="1:37" x14ac:dyDescent="0.25">
      <c r="A104" s="3">
        <v>15</v>
      </c>
      <c r="B104" s="336"/>
      <c r="C104" s="28" t="s">
        <v>203</v>
      </c>
      <c r="D104" s="29" t="s">
        <v>204</v>
      </c>
      <c r="E104" s="50" t="s">
        <v>525</v>
      </c>
      <c r="F104" s="63">
        <f t="shared" si="2"/>
        <v>0</v>
      </c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</row>
    <row r="105" spans="1:37" x14ac:dyDescent="0.25">
      <c r="A105" s="3">
        <v>16</v>
      </c>
      <c r="B105" s="336"/>
      <c r="C105" s="28" t="s">
        <v>205</v>
      </c>
      <c r="D105" s="27" t="s">
        <v>206</v>
      </c>
      <c r="E105" s="50"/>
      <c r="F105" s="63">
        <f t="shared" si="2"/>
        <v>0</v>
      </c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</row>
    <row r="106" spans="1:37" x14ac:dyDescent="0.25">
      <c r="A106" s="3">
        <v>17</v>
      </c>
      <c r="B106" s="336"/>
      <c r="C106" s="28" t="s">
        <v>207</v>
      </c>
      <c r="D106" s="29" t="s">
        <v>208</v>
      </c>
      <c r="E106" s="50"/>
      <c r="F106" s="63">
        <f t="shared" si="2"/>
        <v>0</v>
      </c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</row>
    <row r="107" spans="1:37" x14ac:dyDescent="0.25">
      <c r="A107" s="3">
        <v>18</v>
      </c>
      <c r="B107" s="336"/>
      <c r="C107" s="30" t="s">
        <v>209</v>
      </c>
      <c r="D107" s="31" t="s">
        <v>210</v>
      </c>
      <c r="E107" s="50" t="s">
        <v>525</v>
      </c>
      <c r="F107" s="63">
        <f t="shared" si="2"/>
        <v>0</v>
      </c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</row>
    <row r="108" spans="1:37" x14ac:dyDescent="0.25">
      <c r="A108" s="3">
        <v>19</v>
      </c>
      <c r="B108" s="336"/>
      <c r="C108" s="30" t="s">
        <v>211</v>
      </c>
      <c r="D108" s="31" t="s">
        <v>212</v>
      </c>
      <c r="E108" s="50" t="s">
        <v>525</v>
      </c>
      <c r="F108" s="63">
        <f t="shared" si="2"/>
        <v>0</v>
      </c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</row>
    <row r="109" spans="1:37" x14ac:dyDescent="0.25">
      <c r="A109" s="3">
        <v>20</v>
      </c>
      <c r="B109" s="336"/>
      <c r="C109" s="32" t="s">
        <v>213</v>
      </c>
      <c r="D109" s="33" t="s">
        <v>214</v>
      </c>
      <c r="E109" s="50" t="s">
        <v>525</v>
      </c>
      <c r="F109" s="63">
        <f t="shared" si="2"/>
        <v>0</v>
      </c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</row>
    <row r="110" spans="1:37" x14ac:dyDescent="0.25">
      <c r="A110" s="3">
        <v>21</v>
      </c>
      <c r="B110" s="337"/>
      <c r="C110" s="32" t="s">
        <v>215</v>
      </c>
      <c r="D110" s="33" t="s">
        <v>216</v>
      </c>
      <c r="E110" s="50" t="s">
        <v>525</v>
      </c>
      <c r="F110" s="63">
        <f t="shared" si="2"/>
        <v>0</v>
      </c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</row>
    <row r="111" spans="1:37" x14ac:dyDescent="0.25">
      <c r="A111" s="3">
        <v>22</v>
      </c>
      <c r="B111" s="335" t="s">
        <v>217</v>
      </c>
      <c r="C111" s="32" t="s">
        <v>218</v>
      </c>
      <c r="D111" s="33" t="s">
        <v>537</v>
      </c>
      <c r="E111" s="50" t="s">
        <v>525</v>
      </c>
      <c r="F111" s="63">
        <f t="shared" si="2"/>
        <v>0</v>
      </c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</row>
    <row r="112" spans="1:37" x14ac:dyDescent="0.25">
      <c r="A112" s="3">
        <v>23</v>
      </c>
      <c r="B112" s="336"/>
      <c r="C112" s="32" t="s">
        <v>220</v>
      </c>
      <c r="D112" s="33" t="s">
        <v>538</v>
      </c>
      <c r="E112" s="50" t="s">
        <v>525</v>
      </c>
      <c r="F112" s="63">
        <f t="shared" si="2"/>
        <v>0</v>
      </c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</row>
    <row r="113" spans="1:37" x14ac:dyDescent="0.25">
      <c r="A113" s="3">
        <v>24</v>
      </c>
      <c r="B113" s="336"/>
      <c r="C113" s="32" t="s">
        <v>222</v>
      </c>
      <c r="D113" s="33" t="s">
        <v>539</v>
      </c>
      <c r="E113" s="50" t="s">
        <v>525</v>
      </c>
      <c r="F113" s="63">
        <f t="shared" si="2"/>
        <v>0</v>
      </c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</row>
    <row r="114" spans="1:37" x14ac:dyDescent="0.25">
      <c r="A114" s="3">
        <v>25</v>
      </c>
      <c r="B114" s="337"/>
      <c r="C114" s="32" t="s">
        <v>224</v>
      </c>
      <c r="D114" s="33" t="s">
        <v>540</v>
      </c>
      <c r="E114" s="50" t="s">
        <v>525</v>
      </c>
      <c r="F114" s="63">
        <f t="shared" si="2"/>
        <v>0</v>
      </c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</row>
    <row r="115" spans="1:37" x14ac:dyDescent="0.25">
      <c r="A115" s="3">
        <v>26</v>
      </c>
      <c r="B115" s="314" t="s">
        <v>226</v>
      </c>
      <c r="C115" s="34">
        <v>447926601</v>
      </c>
      <c r="D115" s="35" t="s">
        <v>227</v>
      </c>
      <c r="E115" s="50" t="s">
        <v>525</v>
      </c>
      <c r="F115" s="63">
        <f t="shared" si="2"/>
        <v>15107</v>
      </c>
      <c r="G115" s="76">
        <f>5000+3107</f>
        <v>8107</v>
      </c>
      <c r="H115" s="76">
        <v>7000</v>
      </c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</row>
    <row r="116" spans="1:37" x14ac:dyDescent="0.25">
      <c r="A116" s="3">
        <v>27</v>
      </c>
      <c r="B116" s="315"/>
      <c r="C116" s="36">
        <v>447926611</v>
      </c>
      <c r="D116" s="35" t="s">
        <v>228</v>
      </c>
      <c r="E116" s="50" t="s">
        <v>525</v>
      </c>
      <c r="F116" s="63">
        <f t="shared" si="2"/>
        <v>0</v>
      </c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</row>
    <row r="117" spans="1:37" x14ac:dyDescent="0.25">
      <c r="A117" s="3">
        <v>28</v>
      </c>
      <c r="B117" s="315"/>
      <c r="C117" s="36">
        <v>447926621</v>
      </c>
      <c r="D117" s="35" t="s">
        <v>229</v>
      </c>
      <c r="E117" s="50" t="s">
        <v>525</v>
      </c>
      <c r="F117" s="63">
        <f t="shared" si="2"/>
        <v>0</v>
      </c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</row>
    <row r="118" spans="1:37" x14ac:dyDescent="0.25">
      <c r="A118" s="3">
        <v>29</v>
      </c>
      <c r="B118" s="315"/>
      <c r="C118" s="37">
        <v>447926631</v>
      </c>
      <c r="D118" s="35" t="s">
        <v>230</v>
      </c>
      <c r="E118" s="50" t="s">
        <v>525</v>
      </c>
      <c r="F118" s="63">
        <f t="shared" si="2"/>
        <v>7000</v>
      </c>
      <c r="G118" s="76">
        <v>6000</v>
      </c>
      <c r="H118" s="76">
        <v>1000</v>
      </c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</row>
    <row r="119" spans="1:37" x14ac:dyDescent="0.25">
      <c r="A119" s="3">
        <v>30</v>
      </c>
      <c r="B119" s="316"/>
      <c r="C119" s="34">
        <v>447926641</v>
      </c>
      <c r="D119" s="35" t="s">
        <v>231</v>
      </c>
      <c r="E119" s="50" t="s">
        <v>525</v>
      </c>
      <c r="F119" s="63">
        <f t="shared" si="2"/>
        <v>0</v>
      </c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</row>
    <row r="120" spans="1:37" x14ac:dyDescent="0.25">
      <c r="A120" s="3">
        <v>31</v>
      </c>
      <c r="B120" s="314" t="s">
        <v>232</v>
      </c>
      <c r="C120" s="34">
        <v>447926501</v>
      </c>
      <c r="D120" s="35" t="s">
        <v>233</v>
      </c>
      <c r="E120" s="50" t="s">
        <v>525</v>
      </c>
      <c r="F120" s="63">
        <f t="shared" si="2"/>
        <v>18975</v>
      </c>
      <c r="G120" s="76">
        <f>6000+3975</f>
        <v>9975</v>
      </c>
      <c r="H120" s="76">
        <v>9000</v>
      </c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</row>
    <row r="121" spans="1:37" x14ac:dyDescent="0.25">
      <c r="A121" s="3">
        <v>32</v>
      </c>
      <c r="B121" s="315"/>
      <c r="C121" s="34">
        <v>447926511</v>
      </c>
      <c r="D121" s="35" t="s">
        <v>234</v>
      </c>
      <c r="E121" s="50" t="s">
        <v>525</v>
      </c>
      <c r="F121" s="63">
        <f t="shared" si="2"/>
        <v>0</v>
      </c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</row>
    <row r="122" spans="1:37" x14ac:dyDescent="0.25">
      <c r="A122" s="3">
        <v>33</v>
      </c>
      <c r="B122" s="315"/>
      <c r="C122" s="34">
        <v>447926521</v>
      </c>
      <c r="D122" s="35" t="s">
        <v>235</v>
      </c>
      <c r="E122" s="50" t="s">
        <v>525</v>
      </c>
      <c r="F122" s="63">
        <f t="shared" si="2"/>
        <v>0</v>
      </c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</row>
    <row r="123" spans="1:37" x14ac:dyDescent="0.25">
      <c r="A123" s="3">
        <v>34</v>
      </c>
      <c r="B123" s="315"/>
      <c r="C123" s="34">
        <v>447926531</v>
      </c>
      <c r="D123" s="35" t="s">
        <v>236</v>
      </c>
      <c r="E123" s="50" t="s">
        <v>525</v>
      </c>
      <c r="F123" s="63">
        <f t="shared" si="2"/>
        <v>2000</v>
      </c>
      <c r="G123" s="76">
        <v>1000</v>
      </c>
      <c r="H123" s="76">
        <v>1000</v>
      </c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</row>
    <row r="124" spans="1:37" x14ac:dyDescent="0.25">
      <c r="A124" s="3">
        <v>35</v>
      </c>
      <c r="B124" s="316"/>
      <c r="C124" s="34">
        <v>447926541</v>
      </c>
      <c r="D124" s="35" t="s">
        <v>237</v>
      </c>
      <c r="E124" s="50" t="s">
        <v>525</v>
      </c>
      <c r="F124" s="63">
        <f t="shared" si="2"/>
        <v>0</v>
      </c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</row>
    <row r="125" spans="1:37" x14ac:dyDescent="0.25">
      <c r="A125" s="3">
        <v>36</v>
      </c>
      <c r="B125" s="314" t="s">
        <v>238</v>
      </c>
      <c r="C125" s="34"/>
      <c r="D125" s="35" t="s">
        <v>239</v>
      </c>
      <c r="E125" s="50" t="s">
        <v>525</v>
      </c>
      <c r="F125" s="63">
        <f t="shared" si="2"/>
        <v>0</v>
      </c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</row>
    <row r="126" spans="1:37" x14ac:dyDescent="0.25">
      <c r="A126" s="3">
        <v>37</v>
      </c>
      <c r="B126" s="315"/>
      <c r="C126" s="34"/>
      <c r="D126" s="35" t="s">
        <v>240</v>
      </c>
      <c r="E126" s="50" t="s">
        <v>525</v>
      </c>
      <c r="F126" s="63">
        <f t="shared" si="2"/>
        <v>0</v>
      </c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</row>
    <row r="127" spans="1:37" x14ac:dyDescent="0.25">
      <c r="A127" s="3">
        <v>38</v>
      </c>
      <c r="B127" s="315"/>
      <c r="C127" s="34"/>
      <c r="D127" s="35" t="s">
        <v>241</v>
      </c>
      <c r="E127" s="50" t="s">
        <v>525</v>
      </c>
      <c r="F127" s="63">
        <f t="shared" si="2"/>
        <v>0</v>
      </c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</row>
    <row r="128" spans="1:37" x14ac:dyDescent="0.25">
      <c r="A128" s="3">
        <v>39</v>
      </c>
      <c r="B128" s="315"/>
      <c r="C128" s="34"/>
      <c r="D128" s="35" t="s">
        <v>242</v>
      </c>
      <c r="E128" s="50" t="s">
        <v>525</v>
      </c>
      <c r="F128" s="63">
        <f t="shared" si="2"/>
        <v>0</v>
      </c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</row>
    <row r="129" spans="1:37" x14ac:dyDescent="0.25">
      <c r="A129" s="3">
        <v>40</v>
      </c>
      <c r="B129" s="316"/>
      <c r="C129" s="34"/>
      <c r="D129" s="35" t="s">
        <v>243</v>
      </c>
      <c r="E129" s="50" t="s">
        <v>525</v>
      </c>
      <c r="F129" s="63">
        <f t="shared" si="2"/>
        <v>0</v>
      </c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</row>
    <row r="130" spans="1:37" x14ac:dyDescent="0.25">
      <c r="A130" s="3">
        <v>41</v>
      </c>
      <c r="B130" s="314" t="s">
        <v>244</v>
      </c>
      <c r="C130" s="34"/>
      <c r="D130" s="35" t="s">
        <v>245</v>
      </c>
      <c r="E130" s="50" t="s">
        <v>525</v>
      </c>
      <c r="F130" s="63">
        <f t="shared" si="2"/>
        <v>0</v>
      </c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</row>
    <row r="131" spans="1:37" x14ac:dyDescent="0.25">
      <c r="A131" s="3">
        <v>42</v>
      </c>
      <c r="B131" s="315"/>
      <c r="C131" s="34"/>
      <c r="D131" s="35" t="s">
        <v>246</v>
      </c>
      <c r="E131" s="50" t="s">
        <v>525</v>
      </c>
      <c r="F131" s="63">
        <f t="shared" si="2"/>
        <v>0</v>
      </c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</row>
    <row r="132" spans="1:37" x14ac:dyDescent="0.25">
      <c r="A132" s="3">
        <v>43</v>
      </c>
      <c r="B132" s="315"/>
      <c r="C132" s="34"/>
      <c r="D132" s="35" t="s">
        <v>247</v>
      </c>
      <c r="E132" s="50" t="s">
        <v>525</v>
      </c>
      <c r="F132" s="63">
        <f t="shared" si="2"/>
        <v>0</v>
      </c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</row>
    <row r="133" spans="1:37" x14ac:dyDescent="0.25">
      <c r="A133" s="3">
        <v>44</v>
      </c>
      <c r="B133" s="315"/>
      <c r="C133" s="34"/>
      <c r="D133" s="35" t="s">
        <v>248</v>
      </c>
      <c r="E133" s="50" t="s">
        <v>525</v>
      </c>
      <c r="F133" s="63">
        <f t="shared" si="2"/>
        <v>0</v>
      </c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</row>
    <row r="134" spans="1:37" x14ac:dyDescent="0.25">
      <c r="A134" s="3">
        <v>45</v>
      </c>
      <c r="B134" s="316"/>
      <c r="C134" s="34"/>
      <c r="D134" s="35" t="s">
        <v>249</v>
      </c>
      <c r="E134" s="50" t="s">
        <v>525</v>
      </c>
      <c r="F134" s="63">
        <f t="shared" si="2"/>
        <v>0</v>
      </c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</row>
    <row r="135" spans="1:37" x14ac:dyDescent="0.25">
      <c r="A135" s="3">
        <v>46</v>
      </c>
      <c r="B135" s="314" t="s">
        <v>250</v>
      </c>
      <c r="C135" s="38">
        <v>459668931</v>
      </c>
      <c r="D135" s="10" t="s">
        <v>251</v>
      </c>
      <c r="E135" s="50" t="s">
        <v>525</v>
      </c>
      <c r="F135" s="63">
        <f t="shared" si="2"/>
        <v>0</v>
      </c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</row>
    <row r="136" spans="1:37" x14ac:dyDescent="0.25">
      <c r="A136" s="3">
        <v>47</v>
      </c>
      <c r="B136" s="315"/>
      <c r="C136" s="38" t="s">
        <v>252</v>
      </c>
      <c r="D136" s="10" t="s">
        <v>253</v>
      </c>
      <c r="E136" s="50" t="s">
        <v>525</v>
      </c>
      <c r="F136" s="63">
        <f t="shared" si="2"/>
        <v>0</v>
      </c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</row>
    <row r="137" spans="1:37" x14ac:dyDescent="0.25">
      <c r="A137" s="3">
        <v>48</v>
      </c>
      <c r="B137" s="315"/>
      <c r="C137" s="38" t="s">
        <v>254</v>
      </c>
      <c r="D137" s="10" t="s">
        <v>255</v>
      </c>
      <c r="E137" s="50" t="s">
        <v>525</v>
      </c>
      <c r="F137" s="63">
        <f t="shared" si="2"/>
        <v>0</v>
      </c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</row>
    <row r="138" spans="1:37" x14ac:dyDescent="0.25">
      <c r="A138" s="3">
        <v>49</v>
      </c>
      <c r="B138" s="316"/>
      <c r="C138" s="39">
        <v>459910512</v>
      </c>
      <c r="D138" s="40" t="s">
        <v>256</v>
      </c>
      <c r="E138" s="50" t="s">
        <v>525</v>
      </c>
      <c r="F138" s="63">
        <f t="shared" si="2"/>
        <v>0</v>
      </c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</row>
    <row r="139" spans="1:37" x14ac:dyDescent="0.25">
      <c r="A139" s="3">
        <v>50</v>
      </c>
      <c r="B139" s="314" t="s">
        <v>257</v>
      </c>
      <c r="C139" s="39" t="s">
        <v>258</v>
      </c>
      <c r="D139" s="40" t="s">
        <v>259</v>
      </c>
      <c r="E139" s="50" t="s">
        <v>525</v>
      </c>
      <c r="F139" s="63">
        <f t="shared" si="2"/>
        <v>0</v>
      </c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</row>
    <row r="140" spans="1:37" x14ac:dyDescent="0.25">
      <c r="A140" s="3">
        <v>51</v>
      </c>
      <c r="B140" s="316"/>
      <c r="C140" s="39" t="s">
        <v>260</v>
      </c>
      <c r="D140" s="40" t="s">
        <v>259</v>
      </c>
      <c r="E140" s="50" t="s">
        <v>525</v>
      </c>
      <c r="F140" s="63">
        <f t="shared" si="2"/>
        <v>0</v>
      </c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</row>
    <row r="141" spans="1:37" x14ac:dyDescent="0.25">
      <c r="A141" s="3">
        <v>52</v>
      </c>
      <c r="B141" s="314" t="s">
        <v>261</v>
      </c>
      <c r="C141" s="39" t="s">
        <v>262</v>
      </c>
      <c r="D141" s="40" t="s">
        <v>263</v>
      </c>
      <c r="E141" s="50" t="s">
        <v>525</v>
      </c>
      <c r="F141" s="63">
        <f t="shared" si="2"/>
        <v>0</v>
      </c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</row>
    <row r="142" spans="1:37" x14ac:dyDescent="0.25">
      <c r="A142" s="3">
        <v>53</v>
      </c>
      <c r="B142" s="315"/>
      <c r="C142" s="39" t="s">
        <v>264</v>
      </c>
      <c r="D142" s="40" t="s">
        <v>265</v>
      </c>
      <c r="E142" s="50" t="s">
        <v>525</v>
      </c>
      <c r="F142" s="63">
        <f t="shared" si="2"/>
        <v>0</v>
      </c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</row>
    <row r="143" spans="1:37" x14ac:dyDescent="0.25">
      <c r="A143" s="3">
        <v>54</v>
      </c>
      <c r="B143" s="315"/>
      <c r="C143" s="39" t="s">
        <v>266</v>
      </c>
      <c r="D143" s="40" t="s">
        <v>267</v>
      </c>
      <c r="E143" s="50" t="s">
        <v>525</v>
      </c>
      <c r="F143" s="63">
        <f t="shared" si="2"/>
        <v>0</v>
      </c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</row>
    <row r="144" spans="1:37" x14ac:dyDescent="0.25">
      <c r="A144" s="3">
        <v>55</v>
      </c>
      <c r="B144" s="315"/>
      <c r="C144" s="39" t="s">
        <v>268</v>
      </c>
      <c r="D144" s="40" t="s">
        <v>269</v>
      </c>
      <c r="E144" s="50" t="s">
        <v>525</v>
      </c>
      <c r="F144" s="63">
        <f t="shared" si="2"/>
        <v>0</v>
      </c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</row>
    <row r="145" spans="1:37" x14ac:dyDescent="0.25">
      <c r="A145" s="3">
        <v>56</v>
      </c>
      <c r="B145" s="315"/>
      <c r="C145" s="39" t="s">
        <v>270</v>
      </c>
      <c r="D145" s="40" t="s">
        <v>271</v>
      </c>
      <c r="E145" s="50" t="s">
        <v>525</v>
      </c>
      <c r="F145" s="63">
        <f t="shared" si="2"/>
        <v>0</v>
      </c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</row>
    <row r="146" spans="1:37" x14ac:dyDescent="0.25">
      <c r="A146" s="3">
        <v>57</v>
      </c>
      <c r="B146" s="316"/>
      <c r="C146" s="39" t="s">
        <v>272</v>
      </c>
      <c r="D146" s="40" t="s">
        <v>273</v>
      </c>
      <c r="E146" s="50" t="s">
        <v>525</v>
      </c>
      <c r="F146" s="63">
        <f t="shared" si="2"/>
        <v>0</v>
      </c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</row>
    <row r="147" spans="1:37" x14ac:dyDescent="0.25">
      <c r="A147" s="3">
        <v>58</v>
      </c>
      <c r="B147" s="314" t="s">
        <v>274</v>
      </c>
      <c r="C147" s="37" t="s">
        <v>275</v>
      </c>
      <c r="D147" s="10" t="s">
        <v>276</v>
      </c>
      <c r="E147" s="50" t="s">
        <v>525</v>
      </c>
      <c r="F147" s="63">
        <f t="shared" si="2"/>
        <v>0</v>
      </c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</row>
    <row r="148" spans="1:37" x14ac:dyDescent="0.25">
      <c r="A148" s="3">
        <v>59</v>
      </c>
      <c r="B148" s="315"/>
      <c r="C148" s="37" t="s">
        <v>277</v>
      </c>
      <c r="D148" s="10" t="s">
        <v>278</v>
      </c>
      <c r="E148" s="50" t="s">
        <v>525</v>
      </c>
      <c r="F148" s="63">
        <f t="shared" si="2"/>
        <v>0</v>
      </c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</row>
    <row r="149" spans="1:37" x14ac:dyDescent="0.25">
      <c r="A149" s="3">
        <v>60</v>
      </c>
      <c r="B149" s="315"/>
      <c r="C149" s="37" t="s">
        <v>279</v>
      </c>
      <c r="D149" s="10" t="s">
        <v>280</v>
      </c>
      <c r="E149" s="50" t="s">
        <v>525</v>
      </c>
      <c r="F149" s="63">
        <f t="shared" si="2"/>
        <v>0</v>
      </c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</row>
    <row r="150" spans="1:37" x14ac:dyDescent="0.25">
      <c r="A150" s="3">
        <v>61</v>
      </c>
      <c r="B150" s="316"/>
      <c r="C150" s="37" t="s">
        <v>281</v>
      </c>
      <c r="D150" s="10" t="s">
        <v>282</v>
      </c>
      <c r="E150" s="50" t="s">
        <v>525</v>
      </c>
      <c r="F150" s="63">
        <f t="shared" si="2"/>
        <v>0</v>
      </c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</row>
    <row r="151" spans="1:37" x14ac:dyDescent="0.25">
      <c r="A151" s="3">
        <v>62</v>
      </c>
      <c r="B151" s="314" t="s">
        <v>283</v>
      </c>
      <c r="C151" s="39" t="s">
        <v>284</v>
      </c>
      <c r="D151" s="40" t="s">
        <v>285</v>
      </c>
      <c r="E151" s="50" t="s">
        <v>525</v>
      </c>
      <c r="F151" s="63">
        <f t="shared" si="2"/>
        <v>0</v>
      </c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</row>
    <row r="152" spans="1:37" x14ac:dyDescent="0.25">
      <c r="A152" s="3">
        <v>63</v>
      </c>
      <c r="B152" s="315"/>
      <c r="C152" s="39" t="s">
        <v>286</v>
      </c>
      <c r="D152" s="40" t="s">
        <v>287</v>
      </c>
      <c r="E152" s="50" t="s">
        <v>525</v>
      </c>
      <c r="F152" s="63">
        <f t="shared" si="2"/>
        <v>0</v>
      </c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</row>
    <row r="153" spans="1:37" x14ac:dyDescent="0.25">
      <c r="A153" s="3">
        <v>64</v>
      </c>
      <c r="B153" s="315"/>
      <c r="C153" s="39" t="s">
        <v>288</v>
      </c>
      <c r="D153" s="40" t="s">
        <v>289</v>
      </c>
      <c r="E153" s="50" t="s">
        <v>525</v>
      </c>
      <c r="F153" s="63">
        <f t="shared" si="2"/>
        <v>0</v>
      </c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</row>
    <row r="154" spans="1:37" x14ac:dyDescent="0.25">
      <c r="A154" s="3">
        <v>65</v>
      </c>
      <c r="B154" s="315"/>
      <c r="C154" s="39" t="s">
        <v>290</v>
      </c>
      <c r="D154" s="40" t="s">
        <v>291</v>
      </c>
      <c r="E154" s="50" t="s">
        <v>525</v>
      </c>
      <c r="F154" s="63">
        <f t="shared" si="2"/>
        <v>0</v>
      </c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</row>
    <row r="155" spans="1:37" x14ac:dyDescent="0.25">
      <c r="A155" s="3">
        <v>66</v>
      </c>
      <c r="B155" s="315"/>
      <c r="C155" s="39" t="s">
        <v>292</v>
      </c>
      <c r="D155" s="40" t="s">
        <v>293</v>
      </c>
      <c r="E155" s="50" t="s">
        <v>525</v>
      </c>
      <c r="F155" s="63">
        <f t="shared" ref="F155:F218" si="3">SUM(G155:AK155)</f>
        <v>0</v>
      </c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</row>
    <row r="156" spans="1:37" x14ac:dyDescent="0.25">
      <c r="A156" s="3">
        <v>67</v>
      </c>
      <c r="B156" s="315"/>
      <c r="C156" s="39" t="s">
        <v>294</v>
      </c>
      <c r="D156" s="40" t="s">
        <v>295</v>
      </c>
      <c r="E156" s="50" t="s">
        <v>525</v>
      </c>
      <c r="F156" s="63">
        <f t="shared" si="3"/>
        <v>0</v>
      </c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</row>
    <row r="157" spans="1:37" x14ac:dyDescent="0.25">
      <c r="A157" s="3">
        <v>68</v>
      </c>
      <c r="B157" s="315"/>
      <c r="C157" s="39" t="s">
        <v>296</v>
      </c>
      <c r="D157" s="40" t="s">
        <v>297</v>
      </c>
      <c r="E157" s="50" t="s">
        <v>525</v>
      </c>
      <c r="F157" s="63">
        <f t="shared" si="3"/>
        <v>0</v>
      </c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</row>
    <row r="158" spans="1:37" x14ac:dyDescent="0.25">
      <c r="A158" s="3">
        <v>69</v>
      </c>
      <c r="B158" s="316"/>
      <c r="C158" s="39" t="s">
        <v>298</v>
      </c>
      <c r="D158" s="40" t="s">
        <v>299</v>
      </c>
      <c r="E158" s="50" t="s">
        <v>525</v>
      </c>
      <c r="F158" s="63">
        <f t="shared" si="3"/>
        <v>0</v>
      </c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</row>
    <row r="159" spans="1:37" x14ac:dyDescent="0.25">
      <c r="A159" s="3">
        <v>70</v>
      </c>
      <c r="B159" s="314" t="s">
        <v>300</v>
      </c>
      <c r="C159" s="37" t="s">
        <v>301</v>
      </c>
      <c r="D159" s="10" t="s">
        <v>302</v>
      </c>
      <c r="E159" s="50" t="s">
        <v>525</v>
      </c>
      <c r="F159" s="63">
        <f t="shared" si="3"/>
        <v>0</v>
      </c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</row>
    <row r="160" spans="1:37" x14ac:dyDescent="0.25">
      <c r="A160" s="3">
        <v>71</v>
      </c>
      <c r="B160" s="316"/>
      <c r="C160" s="37" t="s">
        <v>303</v>
      </c>
      <c r="D160" s="10" t="s">
        <v>304</v>
      </c>
      <c r="E160" s="50" t="s">
        <v>525</v>
      </c>
      <c r="F160" s="63">
        <f t="shared" si="3"/>
        <v>0</v>
      </c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</row>
    <row r="161" spans="1:37" x14ac:dyDescent="0.25">
      <c r="A161" s="3">
        <v>72</v>
      </c>
      <c r="B161" s="41" t="s">
        <v>305</v>
      </c>
      <c r="C161" s="37">
        <v>370425461</v>
      </c>
      <c r="D161" s="10" t="s">
        <v>306</v>
      </c>
      <c r="E161" s="50" t="s">
        <v>525</v>
      </c>
      <c r="F161" s="63">
        <f t="shared" si="3"/>
        <v>0</v>
      </c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</row>
    <row r="162" spans="1:37" x14ac:dyDescent="0.25">
      <c r="A162" s="3">
        <v>73</v>
      </c>
      <c r="B162" s="42" t="s">
        <v>307</v>
      </c>
      <c r="C162" s="37" t="s">
        <v>308</v>
      </c>
      <c r="D162" s="10" t="s">
        <v>309</v>
      </c>
      <c r="E162" s="50" t="s">
        <v>525</v>
      </c>
      <c r="F162" s="63">
        <f t="shared" si="3"/>
        <v>0</v>
      </c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</row>
    <row r="163" spans="1:37" x14ac:dyDescent="0.25">
      <c r="A163" s="3"/>
      <c r="B163" s="43" t="s">
        <v>310</v>
      </c>
      <c r="C163" s="37" t="s">
        <v>311</v>
      </c>
      <c r="D163" s="10" t="s">
        <v>312</v>
      </c>
      <c r="E163" s="50" t="s">
        <v>525</v>
      </c>
      <c r="F163" s="63">
        <f t="shared" si="3"/>
        <v>0</v>
      </c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</row>
    <row r="164" spans="1:37" x14ac:dyDescent="0.25">
      <c r="A164" s="3">
        <v>74</v>
      </c>
      <c r="B164" s="338" t="s">
        <v>313</v>
      </c>
      <c r="C164" s="37" t="s">
        <v>314</v>
      </c>
      <c r="D164" s="10" t="s">
        <v>315</v>
      </c>
      <c r="E164" s="50" t="s">
        <v>525</v>
      </c>
      <c r="F164" s="63">
        <f t="shared" si="3"/>
        <v>0</v>
      </c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</row>
    <row r="165" spans="1:37" x14ac:dyDescent="0.25">
      <c r="A165" s="3">
        <v>75</v>
      </c>
      <c r="B165" s="339"/>
      <c r="C165" s="37" t="s">
        <v>316</v>
      </c>
      <c r="D165" s="10" t="s">
        <v>317</v>
      </c>
      <c r="E165" s="50" t="s">
        <v>525</v>
      </c>
      <c r="F165" s="63">
        <f t="shared" si="3"/>
        <v>0</v>
      </c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</row>
    <row r="166" spans="1:37" x14ac:dyDescent="0.25">
      <c r="A166" s="3">
        <v>76</v>
      </c>
      <c r="B166" s="340"/>
      <c r="C166" s="37" t="s">
        <v>318</v>
      </c>
      <c r="D166" s="10" t="s">
        <v>319</v>
      </c>
      <c r="E166" s="50" t="s">
        <v>525</v>
      </c>
      <c r="F166" s="63">
        <f t="shared" si="3"/>
        <v>0</v>
      </c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</row>
    <row r="167" spans="1:37" x14ac:dyDescent="0.25">
      <c r="A167" s="3">
        <v>77</v>
      </c>
      <c r="B167" s="41"/>
      <c r="C167" s="44" t="s">
        <v>320</v>
      </c>
      <c r="D167" s="10" t="s">
        <v>321</v>
      </c>
      <c r="E167" s="50" t="s">
        <v>526</v>
      </c>
      <c r="F167" s="63">
        <f t="shared" si="3"/>
        <v>0</v>
      </c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</row>
    <row r="168" spans="1:37" x14ac:dyDescent="0.25">
      <c r="A168" s="3">
        <v>78</v>
      </c>
      <c r="B168" s="314" t="s">
        <v>322</v>
      </c>
      <c r="C168" s="37" t="s">
        <v>323</v>
      </c>
      <c r="D168" s="10" t="s">
        <v>324</v>
      </c>
      <c r="E168" s="50" t="s">
        <v>525</v>
      </c>
      <c r="F168" s="63">
        <f t="shared" si="3"/>
        <v>0</v>
      </c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</row>
    <row r="169" spans="1:37" x14ac:dyDescent="0.25">
      <c r="A169" s="3">
        <v>79</v>
      </c>
      <c r="B169" s="315"/>
      <c r="C169" s="37" t="s">
        <v>325</v>
      </c>
      <c r="D169" s="10" t="s">
        <v>326</v>
      </c>
      <c r="E169" s="50" t="s">
        <v>525</v>
      </c>
      <c r="F169" s="63">
        <f t="shared" si="3"/>
        <v>0</v>
      </c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</row>
    <row r="170" spans="1:37" x14ac:dyDescent="0.25">
      <c r="A170" s="3">
        <v>80</v>
      </c>
      <c r="B170" s="315"/>
      <c r="C170" s="37" t="s">
        <v>327</v>
      </c>
      <c r="D170" s="10" t="s">
        <v>328</v>
      </c>
      <c r="E170" s="50" t="s">
        <v>525</v>
      </c>
      <c r="F170" s="63">
        <f t="shared" si="3"/>
        <v>0</v>
      </c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</row>
    <row r="171" spans="1:37" x14ac:dyDescent="0.25">
      <c r="A171" s="3">
        <v>81</v>
      </c>
      <c r="B171" s="315"/>
      <c r="C171" s="37" t="s">
        <v>329</v>
      </c>
      <c r="D171" s="10" t="s">
        <v>330</v>
      </c>
      <c r="E171" s="50" t="s">
        <v>525</v>
      </c>
      <c r="F171" s="63">
        <f t="shared" si="3"/>
        <v>0</v>
      </c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</row>
    <row r="172" spans="1:37" x14ac:dyDescent="0.25">
      <c r="A172" s="3">
        <v>82</v>
      </c>
      <c r="B172" s="315"/>
      <c r="C172" s="37" t="s">
        <v>331</v>
      </c>
      <c r="D172" s="10" t="s">
        <v>332</v>
      </c>
      <c r="E172" s="50" t="s">
        <v>525</v>
      </c>
      <c r="F172" s="63">
        <f t="shared" si="3"/>
        <v>0</v>
      </c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</row>
    <row r="173" spans="1:37" x14ac:dyDescent="0.25">
      <c r="A173" s="3">
        <v>83</v>
      </c>
      <c r="B173" s="315"/>
      <c r="C173" s="37" t="s">
        <v>333</v>
      </c>
      <c r="D173" s="10" t="s">
        <v>334</v>
      </c>
      <c r="E173" s="50" t="s">
        <v>525</v>
      </c>
      <c r="F173" s="63">
        <f t="shared" si="3"/>
        <v>0</v>
      </c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</row>
    <row r="174" spans="1:37" x14ac:dyDescent="0.25">
      <c r="A174" s="3">
        <v>84</v>
      </c>
      <c r="B174" s="315"/>
      <c r="C174" s="37" t="s">
        <v>335</v>
      </c>
      <c r="D174" s="10" t="s">
        <v>336</v>
      </c>
      <c r="E174" s="50" t="s">
        <v>525</v>
      </c>
      <c r="F174" s="63">
        <f t="shared" si="3"/>
        <v>0</v>
      </c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</row>
    <row r="175" spans="1:37" x14ac:dyDescent="0.25">
      <c r="A175" s="3">
        <v>85</v>
      </c>
      <c r="B175" s="315"/>
      <c r="C175" s="37" t="s">
        <v>337</v>
      </c>
      <c r="D175" s="10" t="s">
        <v>338</v>
      </c>
      <c r="E175" s="50" t="s">
        <v>525</v>
      </c>
      <c r="F175" s="63">
        <f t="shared" si="3"/>
        <v>0</v>
      </c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</row>
    <row r="176" spans="1:37" x14ac:dyDescent="0.25">
      <c r="A176" s="3">
        <v>86</v>
      </c>
      <c r="B176" s="316"/>
      <c r="C176" s="37" t="s">
        <v>339</v>
      </c>
      <c r="D176" s="10" t="s">
        <v>340</v>
      </c>
      <c r="E176" s="50" t="s">
        <v>525</v>
      </c>
      <c r="F176" s="63">
        <f t="shared" si="3"/>
        <v>0</v>
      </c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</row>
    <row r="177" spans="1:37" x14ac:dyDescent="0.25">
      <c r="A177" s="3">
        <v>87</v>
      </c>
      <c r="B177" s="314" t="s">
        <v>341</v>
      </c>
      <c r="C177" s="37" t="s">
        <v>342</v>
      </c>
      <c r="D177" s="10" t="s">
        <v>343</v>
      </c>
      <c r="E177" s="50" t="s">
        <v>525</v>
      </c>
      <c r="F177" s="63">
        <f t="shared" si="3"/>
        <v>0</v>
      </c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</row>
    <row r="178" spans="1:37" x14ac:dyDescent="0.25">
      <c r="A178" s="3">
        <v>88</v>
      </c>
      <c r="B178" s="315"/>
      <c r="C178" s="37" t="s">
        <v>344</v>
      </c>
      <c r="D178" s="10" t="s">
        <v>345</v>
      </c>
      <c r="E178" s="50" t="s">
        <v>525</v>
      </c>
      <c r="F178" s="63">
        <f t="shared" si="3"/>
        <v>0</v>
      </c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</row>
    <row r="179" spans="1:37" x14ac:dyDescent="0.25">
      <c r="A179" s="3">
        <v>89</v>
      </c>
      <c r="B179" s="315"/>
      <c r="C179" s="37" t="s">
        <v>346</v>
      </c>
      <c r="D179" s="10" t="s">
        <v>347</v>
      </c>
      <c r="E179" s="50" t="s">
        <v>525</v>
      </c>
      <c r="F179" s="63">
        <f t="shared" si="3"/>
        <v>0</v>
      </c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</row>
    <row r="180" spans="1:37" x14ac:dyDescent="0.25">
      <c r="A180" s="3">
        <v>90</v>
      </c>
      <c r="B180" s="315"/>
      <c r="C180" s="37" t="s">
        <v>348</v>
      </c>
      <c r="D180" s="10" t="s">
        <v>349</v>
      </c>
      <c r="E180" s="50" t="s">
        <v>525</v>
      </c>
      <c r="F180" s="63">
        <f t="shared" si="3"/>
        <v>0</v>
      </c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</row>
    <row r="181" spans="1:37" x14ac:dyDescent="0.25">
      <c r="A181" s="3">
        <v>91</v>
      </c>
      <c r="B181" s="316"/>
      <c r="C181" s="37" t="s">
        <v>350</v>
      </c>
      <c r="D181" s="10" t="s">
        <v>351</v>
      </c>
      <c r="E181" s="50" t="s">
        <v>525</v>
      </c>
      <c r="F181" s="63">
        <f t="shared" si="3"/>
        <v>0</v>
      </c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</row>
    <row r="182" spans="1:37" x14ac:dyDescent="0.25">
      <c r="A182" s="3">
        <v>92</v>
      </c>
      <c r="B182" s="314" t="s">
        <v>352</v>
      </c>
      <c r="C182" s="37" t="s">
        <v>353</v>
      </c>
      <c r="D182" s="10" t="s">
        <v>354</v>
      </c>
      <c r="E182" s="50" t="s">
        <v>525</v>
      </c>
      <c r="F182" s="63">
        <f t="shared" si="3"/>
        <v>0</v>
      </c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</row>
    <row r="183" spans="1:37" x14ac:dyDescent="0.25">
      <c r="A183" s="3">
        <v>93</v>
      </c>
      <c r="B183" s="315"/>
      <c r="C183" s="37" t="s">
        <v>355</v>
      </c>
      <c r="D183" s="10" t="s">
        <v>356</v>
      </c>
      <c r="E183" s="50" t="s">
        <v>525</v>
      </c>
      <c r="F183" s="63">
        <f t="shared" si="3"/>
        <v>0</v>
      </c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</row>
    <row r="184" spans="1:37" x14ac:dyDescent="0.25">
      <c r="A184" s="3">
        <v>94</v>
      </c>
      <c r="B184" s="315"/>
      <c r="C184" s="37" t="s">
        <v>357</v>
      </c>
      <c r="D184" s="10" t="s">
        <v>358</v>
      </c>
      <c r="E184" s="50" t="s">
        <v>525</v>
      </c>
      <c r="F184" s="63">
        <f t="shared" si="3"/>
        <v>0</v>
      </c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</row>
    <row r="185" spans="1:37" x14ac:dyDescent="0.25">
      <c r="A185" s="3">
        <v>95</v>
      </c>
      <c r="B185" s="315"/>
      <c r="C185" s="37" t="s">
        <v>359</v>
      </c>
      <c r="D185" s="10" t="s">
        <v>360</v>
      </c>
      <c r="E185" s="50" t="s">
        <v>525</v>
      </c>
      <c r="F185" s="63">
        <f t="shared" si="3"/>
        <v>0</v>
      </c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</row>
    <row r="186" spans="1:37" x14ac:dyDescent="0.25">
      <c r="A186" s="3">
        <v>96</v>
      </c>
      <c r="B186" s="315"/>
      <c r="C186" s="37" t="s">
        <v>361</v>
      </c>
      <c r="D186" s="10" t="s">
        <v>362</v>
      </c>
      <c r="E186" s="50" t="s">
        <v>525</v>
      </c>
      <c r="F186" s="63">
        <f t="shared" si="3"/>
        <v>0</v>
      </c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</row>
    <row r="187" spans="1:37" x14ac:dyDescent="0.25">
      <c r="A187" s="3">
        <v>97</v>
      </c>
      <c r="B187" s="315"/>
      <c r="C187" s="37" t="s">
        <v>363</v>
      </c>
      <c r="D187" s="10" t="s">
        <v>364</v>
      </c>
      <c r="E187" s="50" t="s">
        <v>525</v>
      </c>
      <c r="F187" s="63">
        <f t="shared" si="3"/>
        <v>0</v>
      </c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</row>
    <row r="188" spans="1:37" x14ac:dyDescent="0.25">
      <c r="A188" s="3">
        <v>98</v>
      </c>
      <c r="B188" s="315"/>
      <c r="C188" s="37" t="s">
        <v>365</v>
      </c>
      <c r="D188" s="10" t="s">
        <v>366</v>
      </c>
      <c r="E188" s="50" t="s">
        <v>525</v>
      </c>
      <c r="F188" s="63">
        <f t="shared" si="3"/>
        <v>0</v>
      </c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</row>
    <row r="189" spans="1:37" x14ac:dyDescent="0.25">
      <c r="A189" s="3">
        <v>99</v>
      </c>
      <c r="B189" s="315"/>
      <c r="C189" s="37" t="s">
        <v>367</v>
      </c>
      <c r="D189" s="10" t="s">
        <v>368</v>
      </c>
      <c r="E189" s="50" t="s">
        <v>525</v>
      </c>
      <c r="F189" s="63">
        <f t="shared" si="3"/>
        <v>0</v>
      </c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</row>
    <row r="190" spans="1:37" x14ac:dyDescent="0.25">
      <c r="A190" s="3">
        <v>100</v>
      </c>
      <c r="B190" s="315"/>
      <c r="C190" s="37" t="s">
        <v>369</v>
      </c>
      <c r="D190" s="10" t="s">
        <v>370</v>
      </c>
      <c r="E190" s="50" t="s">
        <v>525</v>
      </c>
      <c r="F190" s="63">
        <f t="shared" si="3"/>
        <v>0</v>
      </c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</row>
    <row r="191" spans="1:37" x14ac:dyDescent="0.25">
      <c r="A191" s="3">
        <v>101</v>
      </c>
      <c r="B191" s="315"/>
      <c r="C191" s="37" t="s">
        <v>371</v>
      </c>
      <c r="D191" s="10" t="s">
        <v>372</v>
      </c>
      <c r="E191" s="50" t="s">
        <v>525</v>
      </c>
      <c r="F191" s="63">
        <f t="shared" si="3"/>
        <v>0</v>
      </c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</row>
    <row r="192" spans="1:37" x14ac:dyDescent="0.25">
      <c r="A192" s="3">
        <v>102</v>
      </c>
      <c r="B192" s="315"/>
      <c r="C192" s="37" t="s">
        <v>373</v>
      </c>
      <c r="D192" s="10" t="s">
        <v>374</v>
      </c>
      <c r="E192" s="50" t="s">
        <v>525</v>
      </c>
      <c r="F192" s="63">
        <f t="shared" si="3"/>
        <v>0</v>
      </c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</row>
    <row r="193" spans="1:37" x14ac:dyDescent="0.25">
      <c r="A193" s="3">
        <v>103</v>
      </c>
      <c r="B193" s="315"/>
      <c r="C193" s="37" t="s">
        <v>375</v>
      </c>
      <c r="D193" s="10" t="s">
        <v>376</v>
      </c>
      <c r="E193" s="50" t="s">
        <v>525</v>
      </c>
      <c r="F193" s="63">
        <f t="shared" si="3"/>
        <v>0</v>
      </c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</row>
    <row r="194" spans="1:37" x14ac:dyDescent="0.25">
      <c r="A194" s="3">
        <v>104</v>
      </c>
      <c r="B194" s="315"/>
      <c r="C194" s="37" t="s">
        <v>377</v>
      </c>
      <c r="D194" s="10" t="s">
        <v>378</v>
      </c>
      <c r="E194" s="50" t="s">
        <v>525</v>
      </c>
      <c r="F194" s="63">
        <f t="shared" si="3"/>
        <v>0</v>
      </c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</row>
    <row r="195" spans="1:37" x14ac:dyDescent="0.25">
      <c r="A195" s="3">
        <v>105</v>
      </c>
      <c r="B195" s="316"/>
      <c r="C195" s="37" t="s">
        <v>379</v>
      </c>
      <c r="D195" s="10" t="s">
        <v>380</v>
      </c>
      <c r="E195" s="50" t="s">
        <v>525</v>
      </c>
      <c r="F195" s="63">
        <f t="shared" si="3"/>
        <v>0</v>
      </c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</row>
    <row r="196" spans="1:37" x14ac:dyDescent="0.25">
      <c r="A196" s="3">
        <v>106</v>
      </c>
      <c r="B196" s="314" t="s">
        <v>381</v>
      </c>
      <c r="C196" s="37" t="s">
        <v>382</v>
      </c>
      <c r="D196" s="10" t="s">
        <v>383</v>
      </c>
      <c r="E196" s="50" t="s">
        <v>525</v>
      </c>
      <c r="F196" s="63">
        <f t="shared" si="3"/>
        <v>0</v>
      </c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</row>
    <row r="197" spans="1:37" x14ac:dyDescent="0.25">
      <c r="A197" s="3">
        <v>107</v>
      </c>
      <c r="B197" s="315"/>
      <c r="C197" s="37" t="s">
        <v>384</v>
      </c>
      <c r="D197" s="10" t="s">
        <v>385</v>
      </c>
      <c r="E197" s="50" t="s">
        <v>525</v>
      </c>
      <c r="F197" s="63">
        <f t="shared" si="3"/>
        <v>0</v>
      </c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</row>
    <row r="198" spans="1:37" x14ac:dyDescent="0.25">
      <c r="A198" s="3">
        <v>108</v>
      </c>
      <c r="B198" s="315"/>
      <c r="C198" s="37" t="s">
        <v>386</v>
      </c>
      <c r="D198" s="10" t="s">
        <v>387</v>
      </c>
      <c r="E198" s="50" t="s">
        <v>525</v>
      </c>
      <c r="F198" s="63">
        <f t="shared" si="3"/>
        <v>0</v>
      </c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</row>
    <row r="199" spans="1:37" x14ac:dyDescent="0.25">
      <c r="A199" s="3">
        <v>109</v>
      </c>
      <c r="B199" s="315"/>
      <c r="C199" s="37" t="s">
        <v>388</v>
      </c>
      <c r="D199" s="10" t="s">
        <v>389</v>
      </c>
      <c r="E199" s="50" t="s">
        <v>525</v>
      </c>
      <c r="F199" s="63">
        <f t="shared" si="3"/>
        <v>0</v>
      </c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</row>
    <row r="200" spans="1:37" x14ac:dyDescent="0.25">
      <c r="A200" s="3">
        <v>110</v>
      </c>
      <c r="B200" s="315"/>
      <c r="C200" s="37" t="s">
        <v>390</v>
      </c>
      <c r="D200" s="10" t="s">
        <v>391</v>
      </c>
      <c r="E200" s="50" t="s">
        <v>525</v>
      </c>
      <c r="F200" s="63">
        <f t="shared" si="3"/>
        <v>0</v>
      </c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</row>
    <row r="201" spans="1:37" x14ac:dyDescent="0.25">
      <c r="A201" s="3">
        <v>111</v>
      </c>
      <c r="B201" s="315"/>
      <c r="C201" s="37" t="s">
        <v>392</v>
      </c>
      <c r="D201" s="10" t="s">
        <v>393</v>
      </c>
      <c r="E201" s="50" t="s">
        <v>525</v>
      </c>
      <c r="F201" s="63">
        <f t="shared" si="3"/>
        <v>0</v>
      </c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</row>
    <row r="202" spans="1:37" x14ac:dyDescent="0.25">
      <c r="A202" s="3">
        <v>112</v>
      </c>
      <c r="B202" s="315"/>
      <c r="C202" s="37" t="s">
        <v>394</v>
      </c>
      <c r="D202" s="10" t="s">
        <v>395</v>
      </c>
      <c r="E202" s="50" t="s">
        <v>525</v>
      </c>
      <c r="F202" s="63">
        <f t="shared" si="3"/>
        <v>0</v>
      </c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</row>
    <row r="203" spans="1:37" x14ac:dyDescent="0.25">
      <c r="A203" s="3">
        <v>113</v>
      </c>
      <c r="B203" s="315"/>
      <c r="C203" s="37" t="s">
        <v>396</v>
      </c>
      <c r="D203" s="10" t="s">
        <v>397</v>
      </c>
      <c r="E203" s="50" t="s">
        <v>525</v>
      </c>
      <c r="F203" s="63">
        <f t="shared" si="3"/>
        <v>0</v>
      </c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</row>
    <row r="204" spans="1:37" x14ac:dyDescent="0.25">
      <c r="A204" s="3">
        <v>114</v>
      </c>
      <c r="B204" s="316"/>
      <c r="C204" s="37" t="s">
        <v>398</v>
      </c>
      <c r="D204" s="10" t="s">
        <v>399</v>
      </c>
      <c r="E204" s="50" t="s">
        <v>525</v>
      </c>
      <c r="F204" s="63">
        <f t="shared" si="3"/>
        <v>0</v>
      </c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</row>
    <row r="205" spans="1:37" x14ac:dyDescent="0.25">
      <c r="A205" s="3">
        <v>115</v>
      </c>
      <c r="B205" s="314" t="s">
        <v>400</v>
      </c>
      <c r="C205" s="37" t="s">
        <v>401</v>
      </c>
      <c r="D205" s="10" t="s">
        <v>402</v>
      </c>
      <c r="E205" s="50" t="s">
        <v>525</v>
      </c>
      <c r="F205" s="63">
        <f t="shared" si="3"/>
        <v>0</v>
      </c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</row>
    <row r="206" spans="1:37" x14ac:dyDescent="0.25">
      <c r="A206" s="3">
        <v>116</v>
      </c>
      <c r="B206" s="315"/>
      <c r="C206" s="37" t="s">
        <v>403</v>
      </c>
      <c r="D206" s="10" t="s">
        <v>404</v>
      </c>
      <c r="E206" s="50" t="s">
        <v>525</v>
      </c>
      <c r="F206" s="63">
        <f t="shared" si="3"/>
        <v>0</v>
      </c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</row>
    <row r="207" spans="1:37" x14ac:dyDescent="0.25">
      <c r="A207" s="3">
        <v>117</v>
      </c>
      <c r="B207" s="315"/>
      <c r="C207" s="37" t="s">
        <v>405</v>
      </c>
      <c r="D207" s="10" t="s">
        <v>406</v>
      </c>
      <c r="E207" s="50" t="s">
        <v>525</v>
      </c>
      <c r="F207" s="63">
        <f t="shared" si="3"/>
        <v>0</v>
      </c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</row>
    <row r="208" spans="1:37" x14ac:dyDescent="0.25">
      <c r="A208" s="3">
        <v>118</v>
      </c>
      <c r="B208" s="315"/>
      <c r="C208" s="37" t="s">
        <v>407</v>
      </c>
      <c r="D208" s="10" t="s">
        <v>408</v>
      </c>
      <c r="E208" s="50" t="s">
        <v>525</v>
      </c>
      <c r="F208" s="63">
        <f t="shared" si="3"/>
        <v>0</v>
      </c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</row>
    <row r="209" spans="1:37" x14ac:dyDescent="0.25">
      <c r="A209" s="3">
        <v>119</v>
      </c>
      <c r="B209" s="316"/>
      <c r="C209" s="37" t="s">
        <v>409</v>
      </c>
      <c r="D209" s="10" t="s">
        <v>410</v>
      </c>
      <c r="E209" s="50" t="s">
        <v>525</v>
      </c>
      <c r="F209" s="63">
        <f t="shared" si="3"/>
        <v>0</v>
      </c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</row>
    <row r="210" spans="1:37" x14ac:dyDescent="0.25">
      <c r="A210" s="3">
        <v>120</v>
      </c>
      <c r="B210" s="314" t="s">
        <v>411</v>
      </c>
      <c r="C210" s="37" t="s">
        <v>412</v>
      </c>
      <c r="D210" s="10" t="s">
        <v>413</v>
      </c>
      <c r="E210" s="50" t="s">
        <v>525</v>
      </c>
      <c r="F210" s="63">
        <f t="shared" si="3"/>
        <v>0</v>
      </c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</row>
    <row r="211" spans="1:37" x14ac:dyDescent="0.25">
      <c r="A211" s="3">
        <v>121</v>
      </c>
      <c r="B211" s="315"/>
      <c r="C211" s="37" t="s">
        <v>414</v>
      </c>
      <c r="D211" s="10" t="s">
        <v>415</v>
      </c>
      <c r="E211" s="50" t="s">
        <v>525</v>
      </c>
      <c r="F211" s="63">
        <f t="shared" si="3"/>
        <v>0</v>
      </c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</row>
    <row r="212" spans="1:37" x14ac:dyDescent="0.25">
      <c r="A212" s="3">
        <v>122</v>
      </c>
      <c r="B212" s="315"/>
      <c r="C212" s="37" t="s">
        <v>416</v>
      </c>
      <c r="D212" s="10" t="s">
        <v>417</v>
      </c>
      <c r="E212" s="50" t="s">
        <v>525</v>
      </c>
      <c r="F212" s="63">
        <f t="shared" si="3"/>
        <v>0</v>
      </c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</row>
    <row r="213" spans="1:37" x14ac:dyDescent="0.25">
      <c r="A213" s="3">
        <v>123</v>
      </c>
      <c r="B213" s="315"/>
      <c r="C213" s="37" t="s">
        <v>418</v>
      </c>
      <c r="D213" s="10" t="s">
        <v>419</v>
      </c>
      <c r="E213" s="50" t="s">
        <v>525</v>
      </c>
      <c r="F213" s="63">
        <f t="shared" si="3"/>
        <v>0</v>
      </c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</row>
    <row r="214" spans="1:37" x14ac:dyDescent="0.25">
      <c r="A214" s="3">
        <v>124</v>
      </c>
      <c r="B214" s="315"/>
      <c r="C214" s="37" t="s">
        <v>420</v>
      </c>
      <c r="D214" s="10" t="s">
        <v>421</v>
      </c>
      <c r="E214" s="50" t="s">
        <v>525</v>
      </c>
      <c r="F214" s="63">
        <f t="shared" si="3"/>
        <v>0</v>
      </c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</row>
    <row r="215" spans="1:37" x14ac:dyDescent="0.25">
      <c r="A215" s="3">
        <v>125</v>
      </c>
      <c r="B215" s="315"/>
      <c r="C215" s="37" t="s">
        <v>422</v>
      </c>
      <c r="D215" s="10" t="s">
        <v>423</v>
      </c>
      <c r="E215" s="50" t="s">
        <v>525</v>
      </c>
      <c r="F215" s="63">
        <f t="shared" si="3"/>
        <v>0</v>
      </c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</row>
    <row r="216" spans="1:37" x14ac:dyDescent="0.25">
      <c r="A216" s="3">
        <v>126</v>
      </c>
      <c r="B216" s="315"/>
      <c r="C216" s="37" t="s">
        <v>424</v>
      </c>
      <c r="D216" s="10" t="s">
        <v>425</v>
      </c>
      <c r="E216" s="50" t="s">
        <v>525</v>
      </c>
      <c r="F216" s="63">
        <f t="shared" si="3"/>
        <v>0</v>
      </c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</row>
    <row r="217" spans="1:37" x14ac:dyDescent="0.25">
      <c r="A217" s="3">
        <v>127</v>
      </c>
      <c r="B217" s="315"/>
      <c r="C217" s="37" t="s">
        <v>426</v>
      </c>
      <c r="D217" s="10" t="s">
        <v>427</v>
      </c>
      <c r="E217" s="50" t="s">
        <v>525</v>
      </c>
      <c r="F217" s="63">
        <f t="shared" si="3"/>
        <v>0</v>
      </c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</row>
    <row r="218" spans="1:37" x14ac:dyDescent="0.25">
      <c r="A218" s="3">
        <v>128</v>
      </c>
      <c r="B218" s="316"/>
      <c r="C218" s="37" t="s">
        <v>428</v>
      </c>
      <c r="D218" s="10" t="s">
        <v>429</v>
      </c>
      <c r="E218" s="50" t="s">
        <v>525</v>
      </c>
      <c r="F218" s="63">
        <f t="shared" si="3"/>
        <v>0</v>
      </c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</row>
    <row r="219" spans="1:37" x14ac:dyDescent="0.25">
      <c r="A219" s="3">
        <v>129</v>
      </c>
      <c r="B219" s="314" t="s">
        <v>430</v>
      </c>
      <c r="C219" s="37" t="s">
        <v>431</v>
      </c>
      <c r="D219" s="10" t="s">
        <v>432</v>
      </c>
      <c r="E219" s="50" t="s">
        <v>525</v>
      </c>
      <c r="F219" s="63">
        <f t="shared" ref="F219:F269" si="4">SUM(G219:AK219)</f>
        <v>0</v>
      </c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</row>
    <row r="220" spans="1:37" x14ac:dyDescent="0.25">
      <c r="A220" s="3">
        <v>130</v>
      </c>
      <c r="B220" s="315"/>
      <c r="C220" s="37" t="s">
        <v>433</v>
      </c>
      <c r="D220" s="10" t="s">
        <v>434</v>
      </c>
      <c r="E220" s="50" t="s">
        <v>525</v>
      </c>
      <c r="F220" s="63">
        <f t="shared" si="4"/>
        <v>0</v>
      </c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</row>
    <row r="221" spans="1:37" x14ac:dyDescent="0.25">
      <c r="A221" s="3">
        <v>131</v>
      </c>
      <c r="B221" s="315"/>
      <c r="C221" s="37" t="s">
        <v>435</v>
      </c>
      <c r="D221" s="10" t="s">
        <v>436</v>
      </c>
      <c r="E221" s="50" t="s">
        <v>525</v>
      </c>
      <c r="F221" s="63">
        <f t="shared" si="4"/>
        <v>0</v>
      </c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</row>
    <row r="222" spans="1:37" x14ac:dyDescent="0.25">
      <c r="A222" s="3">
        <v>132</v>
      </c>
      <c r="B222" s="315"/>
      <c r="C222" s="37" t="s">
        <v>437</v>
      </c>
      <c r="D222" s="10" t="s">
        <v>438</v>
      </c>
      <c r="E222" s="50" t="s">
        <v>525</v>
      </c>
      <c r="F222" s="63">
        <f t="shared" si="4"/>
        <v>0</v>
      </c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</row>
    <row r="223" spans="1:37" x14ac:dyDescent="0.25">
      <c r="A223" s="3">
        <v>133</v>
      </c>
      <c r="B223" s="315"/>
      <c r="C223" s="37" t="s">
        <v>439</v>
      </c>
      <c r="D223" s="10" t="s">
        <v>440</v>
      </c>
      <c r="E223" s="50" t="s">
        <v>525</v>
      </c>
      <c r="F223" s="63">
        <f t="shared" si="4"/>
        <v>0</v>
      </c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</row>
    <row r="224" spans="1:37" x14ac:dyDescent="0.25">
      <c r="A224" s="3">
        <v>134</v>
      </c>
      <c r="B224" s="315"/>
      <c r="C224" s="37" t="s">
        <v>441</v>
      </c>
      <c r="D224" s="10" t="s">
        <v>442</v>
      </c>
      <c r="E224" s="50" t="s">
        <v>525</v>
      </c>
      <c r="F224" s="63">
        <f t="shared" si="4"/>
        <v>0</v>
      </c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</row>
    <row r="225" spans="1:37" x14ac:dyDescent="0.25">
      <c r="A225" s="3">
        <v>135</v>
      </c>
      <c r="B225" s="315"/>
      <c r="C225" s="37" t="s">
        <v>443</v>
      </c>
      <c r="D225" s="10" t="s">
        <v>444</v>
      </c>
      <c r="E225" s="50" t="s">
        <v>525</v>
      </c>
      <c r="F225" s="63">
        <f t="shared" si="4"/>
        <v>0</v>
      </c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</row>
    <row r="226" spans="1:37" x14ac:dyDescent="0.25">
      <c r="A226" s="3">
        <v>136</v>
      </c>
      <c r="B226" s="315"/>
      <c r="C226" s="37" t="s">
        <v>445</v>
      </c>
      <c r="D226" s="10" t="s">
        <v>446</v>
      </c>
      <c r="E226" s="50" t="s">
        <v>525</v>
      </c>
      <c r="F226" s="63">
        <f t="shared" si="4"/>
        <v>0</v>
      </c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</row>
    <row r="227" spans="1:37" x14ac:dyDescent="0.25">
      <c r="A227" s="3">
        <v>137</v>
      </c>
      <c r="B227" s="316"/>
      <c r="C227" s="37" t="s">
        <v>447</v>
      </c>
      <c r="D227" s="10" t="s">
        <v>448</v>
      </c>
      <c r="E227" s="50" t="s">
        <v>525</v>
      </c>
      <c r="F227" s="63">
        <f t="shared" si="4"/>
        <v>0</v>
      </c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</row>
    <row r="228" spans="1:37" x14ac:dyDescent="0.25">
      <c r="A228" s="3">
        <v>138</v>
      </c>
      <c r="B228" s="314" t="s">
        <v>449</v>
      </c>
      <c r="C228" s="37" t="s">
        <v>450</v>
      </c>
      <c r="D228" s="10" t="s">
        <v>451</v>
      </c>
      <c r="E228" s="50" t="s">
        <v>525</v>
      </c>
      <c r="F228" s="63">
        <f t="shared" si="4"/>
        <v>0</v>
      </c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</row>
    <row r="229" spans="1:37" x14ac:dyDescent="0.25">
      <c r="A229" s="3">
        <v>139</v>
      </c>
      <c r="B229" s="315"/>
      <c r="C229" s="37" t="s">
        <v>452</v>
      </c>
      <c r="D229" s="10" t="s">
        <v>453</v>
      </c>
      <c r="E229" s="50" t="s">
        <v>525</v>
      </c>
      <c r="F229" s="63">
        <f t="shared" si="4"/>
        <v>0</v>
      </c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</row>
    <row r="230" spans="1:37" x14ac:dyDescent="0.25">
      <c r="A230" s="3">
        <v>140</v>
      </c>
      <c r="B230" s="315"/>
      <c r="C230" s="37" t="s">
        <v>454</v>
      </c>
      <c r="D230" s="10" t="s">
        <v>455</v>
      </c>
      <c r="E230" s="50" t="s">
        <v>525</v>
      </c>
      <c r="F230" s="63">
        <f t="shared" si="4"/>
        <v>0</v>
      </c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</row>
    <row r="231" spans="1:37" x14ac:dyDescent="0.25">
      <c r="A231" s="3">
        <v>141</v>
      </c>
      <c r="B231" s="315"/>
      <c r="C231" s="37" t="s">
        <v>456</v>
      </c>
      <c r="D231" s="10" t="s">
        <v>457</v>
      </c>
      <c r="E231" s="50" t="s">
        <v>525</v>
      </c>
      <c r="F231" s="63">
        <f t="shared" si="4"/>
        <v>0</v>
      </c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</row>
    <row r="232" spans="1:37" x14ac:dyDescent="0.25">
      <c r="A232" s="3">
        <v>142</v>
      </c>
      <c r="B232" s="316"/>
      <c r="C232" s="37" t="s">
        <v>458</v>
      </c>
      <c r="D232" s="10" t="s">
        <v>459</v>
      </c>
      <c r="E232" s="50" t="s">
        <v>525</v>
      </c>
      <c r="F232" s="63">
        <f t="shared" si="4"/>
        <v>0</v>
      </c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</row>
    <row r="233" spans="1:37" x14ac:dyDescent="0.25">
      <c r="A233" s="3">
        <v>143</v>
      </c>
      <c r="B233" s="314" t="s">
        <v>460</v>
      </c>
      <c r="C233" s="37" t="s">
        <v>461</v>
      </c>
      <c r="D233" s="10" t="s">
        <v>462</v>
      </c>
      <c r="E233" s="50" t="s">
        <v>525</v>
      </c>
      <c r="F233" s="63">
        <f t="shared" si="4"/>
        <v>0</v>
      </c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</row>
    <row r="234" spans="1:37" x14ac:dyDescent="0.25">
      <c r="A234" s="3">
        <v>144</v>
      </c>
      <c r="B234" s="315"/>
      <c r="C234" s="37" t="s">
        <v>463</v>
      </c>
      <c r="D234" s="10" t="s">
        <v>464</v>
      </c>
      <c r="E234" s="50" t="s">
        <v>525</v>
      </c>
      <c r="F234" s="63">
        <f t="shared" si="4"/>
        <v>0</v>
      </c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</row>
    <row r="235" spans="1:37" x14ac:dyDescent="0.25">
      <c r="A235" s="3">
        <v>145</v>
      </c>
      <c r="B235" s="315"/>
      <c r="C235" s="37" t="s">
        <v>465</v>
      </c>
      <c r="D235" s="10" t="s">
        <v>466</v>
      </c>
      <c r="E235" s="50" t="s">
        <v>525</v>
      </c>
      <c r="F235" s="63">
        <f t="shared" si="4"/>
        <v>0</v>
      </c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</row>
    <row r="236" spans="1:37" x14ac:dyDescent="0.25">
      <c r="A236" s="3">
        <v>146</v>
      </c>
      <c r="B236" s="315"/>
      <c r="C236" s="37" t="s">
        <v>467</v>
      </c>
      <c r="D236" s="10" t="s">
        <v>468</v>
      </c>
      <c r="E236" s="50" t="s">
        <v>525</v>
      </c>
      <c r="F236" s="63">
        <f t="shared" si="4"/>
        <v>0</v>
      </c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</row>
    <row r="237" spans="1:37" x14ac:dyDescent="0.25">
      <c r="A237" s="3">
        <v>147</v>
      </c>
      <c r="B237" s="315"/>
      <c r="C237" s="37" t="s">
        <v>469</v>
      </c>
      <c r="D237" s="10" t="s">
        <v>470</v>
      </c>
      <c r="E237" s="50" t="s">
        <v>525</v>
      </c>
      <c r="F237" s="63">
        <f t="shared" si="4"/>
        <v>0</v>
      </c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</row>
    <row r="238" spans="1:37" x14ac:dyDescent="0.25">
      <c r="A238" s="3">
        <v>148</v>
      </c>
      <c r="B238" s="315"/>
      <c r="C238" s="37" t="s">
        <v>471</v>
      </c>
      <c r="D238" s="10" t="s">
        <v>472</v>
      </c>
      <c r="E238" s="50" t="s">
        <v>525</v>
      </c>
      <c r="F238" s="63">
        <f t="shared" si="4"/>
        <v>0</v>
      </c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</row>
    <row r="239" spans="1:37" x14ac:dyDescent="0.25">
      <c r="A239" s="3">
        <v>149</v>
      </c>
      <c r="B239" s="315"/>
      <c r="C239" s="37" t="s">
        <v>473</v>
      </c>
      <c r="D239" s="10" t="s">
        <v>474</v>
      </c>
      <c r="E239" s="50" t="s">
        <v>525</v>
      </c>
      <c r="F239" s="63">
        <f t="shared" si="4"/>
        <v>0</v>
      </c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</row>
    <row r="240" spans="1:37" x14ac:dyDescent="0.25">
      <c r="A240" s="3">
        <v>150</v>
      </c>
      <c r="B240" s="315"/>
      <c r="C240" s="37" t="s">
        <v>475</v>
      </c>
      <c r="D240" s="10" t="s">
        <v>476</v>
      </c>
      <c r="E240" s="50" t="s">
        <v>525</v>
      </c>
      <c r="F240" s="63">
        <f t="shared" si="4"/>
        <v>0</v>
      </c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</row>
    <row r="241" spans="1:37" x14ac:dyDescent="0.25">
      <c r="A241" s="3">
        <v>151</v>
      </c>
      <c r="B241" s="315"/>
      <c r="C241" s="37" t="s">
        <v>477</v>
      </c>
      <c r="D241" s="10" t="s">
        <v>478</v>
      </c>
      <c r="E241" s="50" t="s">
        <v>525</v>
      </c>
      <c r="F241" s="63">
        <f t="shared" si="4"/>
        <v>0</v>
      </c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</row>
    <row r="242" spans="1:37" x14ac:dyDescent="0.25">
      <c r="A242" s="3">
        <v>152</v>
      </c>
      <c r="B242" s="315"/>
      <c r="C242" s="37" t="s">
        <v>479</v>
      </c>
      <c r="D242" s="10" t="s">
        <v>480</v>
      </c>
      <c r="E242" s="50" t="s">
        <v>525</v>
      </c>
      <c r="F242" s="63">
        <f t="shared" si="4"/>
        <v>0</v>
      </c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</row>
    <row r="243" spans="1:37" x14ac:dyDescent="0.25">
      <c r="A243" s="3">
        <v>153</v>
      </c>
      <c r="B243" s="315"/>
      <c r="C243" s="37" t="s">
        <v>481</v>
      </c>
      <c r="D243" s="10" t="s">
        <v>451</v>
      </c>
      <c r="E243" s="50" t="s">
        <v>525</v>
      </c>
      <c r="F243" s="63">
        <f t="shared" si="4"/>
        <v>0</v>
      </c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</row>
    <row r="244" spans="1:37" x14ac:dyDescent="0.25">
      <c r="A244" s="3">
        <v>154</v>
      </c>
      <c r="B244" s="315"/>
      <c r="C244" s="37" t="s">
        <v>482</v>
      </c>
      <c r="D244" s="10" t="s">
        <v>483</v>
      </c>
      <c r="E244" s="50" t="s">
        <v>525</v>
      </c>
      <c r="F244" s="63">
        <f t="shared" si="4"/>
        <v>0</v>
      </c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</row>
    <row r="245" spans="1:37" x14ac:dyDescent="0.25">
      <c r="A245" s="3">
        <v>155</v>
      </c>
      <c r="B245" s="315"/>
      <c r="C245" s="37" t="s">
        <v>484</v>
      </c>
      <c r="D245" s="10" t="s">
        <v>485</v>
      </c>
      <c r="E245" s="50" t="s">
        <v>525</v>
      </c>
      <c r="F245" s="63">
        <f t="shared" si="4"/>
        <v>0</v>
      </c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</row>
    <row r="246" spans="1:37" x14ac:dyDescent="0.25">
      <c r="A246" s="3">
        <v>156</v>
      </c>
      <c r="B246" s="315"/>
      <c r="C246" s="37" t="s">
        <v>486</v>
      </c>
      <c r="D246" s="10" t="s">
        <v>487</v>
      </c>
      <c r="E246" s="50" t="s">
        <v>525</v>
      </c>
      <c r="F246" s="63">
        <f t="shared" si="4"/>
        <v>0</v>
      </c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</row>
    <row r="247" spans="1:37" x14ac:dyDescent="0.25">
      <c r="A247" s="3">
        <v>157</v>
      </c>
      <c r="B247" s="315"/>
      <c r="C247" s="37" t="s">
        <v>481</v>
      </c>
      <c r="D247" s="10" t="s">
        <v>488</v>
      </c>
      <c r="E247" s="50" t="s">
        <v>525</v>
      </c>
      <c r="F247" s="63">
        <f t="shared" si="4"/>
        <v>0</v>
      </c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</row>
    <row r="248" spans="1:37" x14ac:dyDescent="0.25">
      <c r="A248" s="3">
        <v>158</v>
      </c>
      <c r="B248" s="315"/>
      <c r="C248" s="37" t="s">
        <v>482</v>
      </c>
      <c r="D248" s="10" t="s">
        <v>489</v>
      </c>
      <c r="E248" s="50" t="s">
        <v>525</v>
      </c>
      <c r="F248" s="63">
        <f t="shared" si="4"/>
        <v>0</v>
      </c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</row>
    <row r="249" spans="1:37" x14ac:dyDescent="0.25">
      <c r="A249" s="3">
        <v>159</v>
      </c>
      <c r="B249" s="315"/>
      <c r="C249" s="37" t="s">
        <v>484</v>
      </c>
      <c r="D249" s="10" t="s">
        <v>490</v>
      </c>
      <c r="E249" s="50" t="s">
        <v>525</v>
      </c>
      <c r="F249" s="63">
        <f t="shared" si="4"/>
        <v>0</v>
      </c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</row>
    <row r="250" spans="1:37" x14ac:dyDescent="0.25">
      <c r="A250" s="3">
        <v>160</v>
      </c>
      <c r="B250" s="316"/>
      <c r="C250" s="37" t="s">
        <v>486</v>
      </c>
      <c r="D250" s="10" t="s">
        <v>491</v>
      </c>
      <c r="E250" s="50" t="s">
        <v>525</v>
      </c>
      <c r="F250" s="63">
        <f t="shared" si="4"/>
        <v>0</v>
      </c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</row>
    <row r="251" spans="1:37" x14ac:dyDescent="0.25">
      <c r="A251" s="3">
        <v>161</v>
      </c>
      <c r="B251" s="41" t="s">
        <v>305</v>
      </c>
      <c r="C251" s="37" t="s">
        <v>492</v>
      </c>
      <c r="D251" s="10" t="s">
        <v>493</v>
      </c>
      <c r="E251" s="50" t="s">
        <v>525</v>
      </c>
      <c r="F251" s="63">
        <f t="shared" si="4"/>
        <v>0</v>
      </c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</row>
    <row r="252" spans="1:37" x14ac:dyDescent="0.25">
      <c r="A252" s="3">
        <v>162</v>
      </c>
      <c r="B252" s="45" t="s">
        <v>494</v>
      </c>
      <c r="C252" s="37" t="s">
        <v>495</v>
      </c>
      <c r="D252" s="10" t="s">
        <v>496</v>
      </c>
      <c r="E252" s="50" t="s">
        <v>525</v>
      </c>
      <c r="F252" s="63">
        <f t="shared" si="4"/>
        <v>0</v>
      </c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/>
      <c r="AK252" s="76"/>
    </row>
    <row r="253" spans="1:37" x14ac:dyDescent="0.25">
      <c r="A253" s="3">
        <v>163</v>
      </c>
      <c r="B253" s="41" t="s">
        <v>497</v>
      </c>
      <c r="C253" s="37" t="s">
        <v>498</v>
      </c>
      <c r="D253" s="10" t="s">
        <v>499</v>
      </c>
      <c r="E253" s="50" t="s">
        <v>525</v>
      </c>
      <c r="F253" s="63">
        <f t="shared" si="4"/>
        <v>2880</v>
      </c>
      <c r="G253" s="76">
        <v>2880</v>
      </c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76"/>
      <c r="AG253" s="76"/>
      <c r="AH253" s="76"/>
      <c r="AI253" s="76"/>
      <c r="AJ253" s="76"/>
      <c r="AK253" s="76"/>
    </row>
    <row r="254" spans="1:37" x14ac:dyDescent="0.25">
      <c r="A254" s="3"/>
      <c r="B254" s="46" t="s">
        <v>500</v>
      </c>
      <c r="C254" s="37" t="s">
        <v>501</v>
      </c>
      <c r="D254" s="10" t="s">
        <v>502</v>
      </c>
      <c r="E254" s="50"/>
      <c r="F254" s="63">
        <f t="shared" si="4"/>
        <v>90335</v>
      </c>
      <c r="G254" s="76">
        <f>13500+20795</f>
        <v>34295</v>
      </c>
      <c r="H254" s="76">
        <f>56040</f>
        <v>56040</v>
      </c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/>
      <c r="AC254" s="76"/>
      <c r="AD254" s="76"/>
      <c r="AE254" s="76"/>
      <c r="AF254" s="76"/>
      <c r="AG254" s="76"/>
      <c r="AH254" s="76"/>
      <c r="AI254" s="76"/>
      <c r="AJ254" s="76"/>
      <c r="AK254" s="76"/>
    </row>
    <row r="255" spans="1:37" x14ac:dyDescent="0.25">
      <c r="A255" s="3">
        <v>164</v>
      </c>
      <c r="B255" s="341" t="s">
        <v>494</v>
      </c>
      <c r="C255" s="37" t="s">
        <v>503</v>
      </c>
      <c r="D255" s="10" t="s">
        <v>504</v>
      </c>
      <c r="E255" s="50" t="s">
        <v>525</v>
      </c>
      <c r="F255" s="63">
        <f t="shared" si="4"/>
        <v>0</v>
      </c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/>
      <c r="AC255" s="76"/>
      <c r="AD255" s="76"/>
      <c r="AE255" s="76"/>
      <c r="AF255" s="76"/>
      <c r="AG255" s="76"/>
      <c r="AH255" s="76"/>
      <c r="AI255" s="76"/>
      <c r="AJ255" s="76"/>
      <c r="AK255" s="76"/>
    </row>
    <row r="256" spans="1:37" x14ac:dyDescent="0.25">
      <c r="A256" s="3">
        <v>165</v>
      </c>
      <c r="B256" s="342"/>
      <c r="C256" s="37" t="s">
        <v>505</v>
      </c>
      <c r="D256" s="10" t="s">
        <v>506</v>
      </c>
      <c r="E256" s="50" t="s">
        <v>525</v>
      </c>
      <c r="F256" s="63">
        <f t="shared" si="4"/>
        <v>0</v>
      </c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/>
      <c r="AC256" s="76"/>
      <c r="AD256" s="76"/>
      <c r="AE256" s="76"/>
      <c r="AF256" s="76"/>
      <c r="AG256" s="76"/>
      <c r="AH256" s="76"/>
      <c r="AI256" s="76"/>
      <c r="AJ256" s="76"/>
      <c r="AK256" s="76"/>
    </row>
    <row r="257" spans="1:37" x14ac:dyDescent="0.25">
      <c r="A257" s="3">
        <v>166</v>
      </c>
      <c r="B257" s="41" t="s">
        <v>305</v>
      </c>
      <c r="C257" s="37">
        <v>426623811</v>
      </c>
      <c r="D257" s="10" t="s">
        <v>507</v>
      </c>
      <c r="E257" s="50" t="s">
        <v>525</v>
      </c>
      <c r="F257" s="63">
        <f t="shared" si="4"/>
        <v>0</v>
      </c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/>
      <c r="AC257" s="76"/>
      <c r="AD257" s="76"/>
      <c r="AE257" s="76"/>
      <c r="AF257" s="76"/>
      <c r="AG257" s="76"/>
      <c r="AH257" s="76"/>
      <c r="AI257" s="76"/>
      <c r="AJ257" s="76"/>
      <c r="AK257" s="76"/>
    </row>
    <row r="258" spans="1:37" x14ac:dyDescent="0.25">
      <c r="A258" s="3">
        <v>167</v>
      </c>
      <c r="B258" s="341" t="s">
        <v>508</v>
      </c>
      <c r="C258" s="37">
        <v>459464701</v>
      </c>
      <c r="D258" s="10" t="s">
        <v>509</v>
      </c>
      <c r="E258" s="50" t="s">
        <v>525</v>
      </c>
      <c r="F258" s="63">
        <f t="shared" si="4"/>
        <v>43796</v>
      </c>
      <c r="G258" s="76">
        <v>3796</v>
      </c>
      <c r="H258" s="76">
        <f>24000+16000</f>
        <v>40000</v>
      </c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  <c r="AF258" s="76"/>
      <c r="AG258" s="76"/>
      <c r="AH258" s="76"/>
      <c r="AI258" s="76"/>
      <c r="AJ258" s="76"/>
      <c r="AK258" s="76"/>
    </row>
    <row r="259" spans="1:37" x14ac:dyDescent="0.25">
      <c r="A259" s="3">
        <v>168</v>
      </c>
      <c r="B259" s="342"/>
      <c r="C259" s="37">
        <v>459639901</v>
      </c>
      <c r="D259" s="10" t="s">
        <v>510</v>
      </c>
      <c r="E259" s="50" t="s">
        <v>525</v>
      </c>
      <c r="F259" s="63">
        <f t="shared" si="4"/>
        <v>0</v>
      </c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  <c r="AE259" s="76"/>
      <c r="AF259" s="76"/>
      <c r="AG259" s="76"/>
      <c r="AH259" s="76"/>
      <c r="AI259" s="76"/>
      <c r="AJ259" s="76"/>
      <c r="AK259" s="76"/>
    </row>
    <row r="260" spans="1:37" x14ac:dyDescent="0.25">
      <c r="A260" s="3">
        <v>169</v>
      </c>
      <c r="B260" s="75" t="s">
        <v>511</v>
      </c>
      <c r="C260" s="37" t="s">
        <v>512</v>
      </c>
      <c r="D260" s="10" t="s">
        <v>513</v>
      </c>
      <c r="E260" s="50" t="s">
        <v>528</v>
      </c>
      <c r="F260" s="63">
        <f t="shared" si="4"/>
        <v>0</v>
      </c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76"/>
      <c r="AF260" s="76"/>
      <c r="AG260" s="76"/>
      <c r="AH260" s="76"/>
      <c r="AI260" s="76"/>
      <c r="AJ260" s="76"/>
      <c r="AK260" s="76"/>
    </row>
    <row r="261" spans="1:37" x14ac:dyDescent="0.25">
      <c r="A261" s="3">
        <v>170</v>
      </c>
      <c r="B261" s="45" t="s">
        <v>497</v>
      </c>
      <c r="C261" s="47">
        <v>418814402</v>
      </c>
      <c r="D261" s="48" t="s">
        <v>514</v>
      </c>
      <c r="E261" s="50" t="s">
        <v>528</v>
      </c>
      <c r="F261" s="63">
        <f t="shared" si="4"/>
        <v>0</v>
      </c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/>
      <c r="AC261" s="76"/>
      <c r="AD261" s="76"/>
      <c r="AE261" s="76"/>
      <c r="AF261" s="76"/>
      <c r="AG261" s="76"/>
      <c r="AH261" s="76"/>
      <c r="AI261" s="76"/>
      <c r="AJ261" s="76"/>
      <c r="AK261" s="76"/>
    </row>
    <row r="262" spans="1:37" x14ac:dyDescent="0.25">
      <c r="A262" s="3">
        <v>171</v>
      </c>
      <c r="B262" s="41" t="s">
        <v>305</v>
      </c>
      <c r="C262" s="37">
        <v>418814402</v>
      </c>
      <c r="D262" s="10" t="s">
        <v>515</v>
      </c>
      <c r="E262" s="50" t="s">
        <v>529</v>
      </c>
      <c r="F262" s="63">
        <f t="shared" si="4"/>
        <v>0</v>
      </c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76"/>
      <c r="AF262" s="76"/>
      <c r="AG262" s="76"/>
      <c r="AH262" s="76"/>
      <c r="AI262" s="76"/>
      <c r="AJ262" s="76"/>
      <c r="AK262" s="76"/>
    </row>
    <row r="263" spans="1:37" x14ac:dyDescent="0.25">
      <c r="A263" s="3">
        <v>172</v>
      </c>
      <c r="B263" s="45" t="s">
        <v>497</v>
      </c>
      <c r="C263" s="37">
        <v>666549701</v>
      </c>
      <c r="D263" s="10" t="s">
        <v>516</v>
      </c>
      <c r="E263" s="50" t="s">
        <v>529</v>
      </c>
      <c r="F263" s="63">
        <f t="shared" si="4"/>
        <v>0</v>
      </c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/>
      <c r="AC263" s="76"/>
      <c r="AD263" s="76"/>
      <c r="AE263" s="76"/>
      <c r="AF263" s="76"/>
      <c r="AG263" s="76"/>
      <c r="AH263" s="76"/>
      <c r="AI263" s="76"/>
      <c r="AJ263" s="76"/>
      <c r="AK263" s="76"/>
    </row>
    <row r="264" spans="1:37" x14ac:dyDescent="0.25">
      <c r="A264" s="3">
        <v>173</v>
      </c>
      <c r="B264" s="41" t="s">
        <v>305</v>
      </c>
      <c r="C264" s="37">
        <v>472740901</v>
      </c>
      <c r="D264" s="10" t="s">
        <v>517</v>
      </c>
      <c r="E264" s="50" t="s">
        <v>530</v>
      </c>
      <c r="F264" s="63">
        <f t="shared" si="4"/>
        <v>0</v>
      </c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</row>
    <row r="265" spans="1:37" x14ac:dyDescent="0.25">
      <c r="A265" s="3">
        <v>174</v>
      </c>
      <c r="B265" s="45" t="s">
        <v>497</v>
      </c>
      <c r="C265" s="37">
        <v>666549701</v>
      </c>
      <c r="D265" s="10" t="s">
        <v>518</v>
      </c>
      <c r="E265" s="50" t="s">
        <v>530</v>
      </c>
      <c r="F265" s="63">
        <f t="shared" si="4"/>
        <v>0</v>
      </c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76"/>
      <c r="AG265" s="76"/>
      <c r="AH265" s="76"/>
      <c r="AI265" s="76"/>
      <c r="AJ265" s="76"/>
      <c r="AK265" s="76"/>
    </row>
    <row r="266" spans="1:37" x14ac:dyDescent="0.25">
      <c r="A266" s="3">
        <v>175</v>
      </c>
      <c r="B266" s="41" t="s">
        <v>305</v>
      </c>
      <c r="C266" s="44" t="s">
        <v>519</v>
      </c>
      <c r="D266" s="10" t="s">
        <v>520</v>
      </c>
      <c r="E266" s="50" t="s">
        <v>525</v>
      </c>
      <c r="F266" s="63">
        <f t="shared" si="4"/>
        <v>0</v>
      </c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/>
      <c r="AC266" s="76"/>
      <c r="AD266" s="76"/>
      <c r="AE266" s="76"/>
      <c r="AF266" s="76"/>
      <c r="AG266" s="76"/>
      <c r="AH266" s="76"/>
      <c r="AI266" s="76"/>
      <c r="AJ266" s="76"/>
      <c r="AK266" s="76"/>
    </row>
    <row r="267" spans="1:37" x14ac:dyDescent="0.25">
      <c r="A267" s="3">
        <v>176</v>
      </c>
      <c r="B267" s="41" t="s">
        <v>305</v>
      </c>
      <c r="C267" s="44" t="s">
        <v>521</v>
      </c>
      <c r="D267" s="10" t="s">
        <v>522</v>
      </c>
      <c r="E267" s="50" t="s">
        <v>525</v>
      </c>
      <c r="F267" s="63">
        <f t="shared" si="4"/>
        <v>0</v>
      </c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6"/>
      <c r="AC267" s="76"/>
      <c r="AD267" s="76"/>
      <c r="AE267" s="76"/>
      <c r="AF267" s="76"/>
      <c r="AG267" s="76"/>
      <c r="AH267" s="76"/>
      <c r="AI267" s="76"/>
      <c r="AJ267" s="76"/>
      <c r="AK267" s="76"/>
    </row>
    <row r="268" spans="1:37" x14ac:dyDescent="0.25">
      <c r="A268" s="3">
        <v>177</v>
      </c>
      <c r="B268" s="41" t="s">
        <v>305</v>
      </c>
      <c r="C268" s="44" t="s">
        <v>523</v>
      </c>
      <c r="D268" s="10" t="s">
        <v>524</v>
      </c>
      <c r="E268" s="50" t="s">
        <v>525</v>
      </c>
      <c r="F268" s="63">
        <f t="shared" si="4"/>
        <v>0</v>
      </c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6"/>
      <c r="AC268" s="76"/>
      <c r="AD268" s="76"/>
      <c r="AE268" s="76"/>
      <c r="AF268" s="76"/>
      <c r="AG268" s="76"/>
      <c r="AH268" s="76"/>
      <c r="AI268" s="76"/>
      <c r="AJ268" s="76"/>
      <c r="AK268" s="76"/>
    </row>
    <row r="269" spans="1:37" x14ac:dyDescent="0.25">
      <c r="A269" s="3">
        <v>178</v>
      </c>
      <c r="B269" s="41" t="s">
        <v>497</v>
      </c>
      <c r="C269" s="44">
        <v>469425301</v>
      </c>
      <c r="D269" s="10" t="s">
        <v>535</v>
      </c>
      <c r="E269" s="50" t="s">
        <v>525</v>
      </c>
      <c r="F269" s="63">
        <f t="shared" si="4"/>
        <v>0</v>
      </c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76"/>
      <c r="AG269" s="76"/>
      <c r="AH269" s="76"/>
      <c r="AI269" s="76"/>
      <c r="AJ269" s="76"/>
      <c r="AK269" s="76"/>
    </row>
  </sheetData>
  <mergeCells count="50">
    <mergeCell ref="B233:B250"/>
    <mergeCell ref="B255:B256"/>
    <mergeCell ref="B258:B259"/>
    <mergeCell ref="B182:B195"/>
    <mergeCell ref="B196:B204"/>
    <mergeCell ref="B205:B209"/>
    <mergeCell ref="B210:B218"/>
    <mergeCell ref="B219:B227"/>
    <mergeCell ref="B228:B232"/>
    <mergeCell ref="B177:B181"/>
    <mergeCell ref="B120:B124"/>
    <mergeCell ref="B125:B129"/>
    <mergeCell ref="B130:B134"/>
    <mergeCell ref="B135:B138"/>
    <mergeCell ref="B139:B140"/>
    <mergeCell ref="B141:B146"/>
    <mergeCell ref="B147:B150"/>
    <mergeCell ref="B151:B158"/>
    <mergeCell ref="B159:B160"/>
    <mergeCell ref="B164:B166"/>
    <mergeCell ref="B168:B176"/>
    <mergeCell ref="B90:B93"/>
    <mergeCell ref="B94:B98"/>
    <mergeCell ref="B99:B100"/>
    <mergeCell ref="B101:B110"/>
    <mergeCell ref="B111:B114"/>
    <mergeCell ref="B115:B119"/>
    <mergeCell ref="B76:B78"/>
    <mergeCell ref="B79:B83"/>
    <mergeCell ref="G3:AK3"/>
    <mergeCell ref="A1:G2"/>
    <mergeCell ref="A4:D4"/>
    <mergeCell ref="A89:AK89"/>
    <mergeCell ref="B46:B47"/>
    <mergeCell ref="B48:B49"/>
    <mergeCell ref="B50:B55"/>
    <mergeCell ref="B56:B60"/>
    <mergeCell ref="B61:B65"/>
    <mergeCell ref="B66:B75"/>
    <mergeCell ref="B19:B23"/>
    <mergeCell ref="B24:B27"/>
    <mergeCell ref="B28:B32"/>
    <mergeCell ref="B34:B37"/>
    <mergeCell ref="B38:B41"/>
    <mergeCell ref="B42:B45"/>
    <mergeCell ref="F3:F4"/>
    <mergeCell ref="B5:B8"/>
    <mergeCell ref="B9:B13"/>
    <mergeCell ref="B14:B15"/>
    <mergeCell ref="B16:B18"/>
  </mergeCells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K269"/>
  <sheetViews>
    <sheetView zoomScaleNormal="100" workbookViewId="0">
      <pane xSplit="6" ySplit="4" topLeftCell="G116" activePane="bottomRight" state="frozen"/>
      <selection pane="topRight" activeCell="G1" sqref="G1"/>
      <selection pane="bottomLeft" activeCell="A7" sqref="A7"/>
      <selection pane="bottomRight" activeCell="E118" sqref="E118"/>
    </sheetView>
  </sheetViews>
  <sheetFormatPr defaultColWidth="9.09765625" defaultRowHeight="13.8" x14ac:dyDescent="0.25"/>
  <cols>
    <col min="1" max="1" width="4" style="1" customWidth="1"/>
    <col min="2" max="2" width="11.59765625" style="1" customWidth="1"/>
    <col min="3" max="3" width="35.59765625" style="1" customWidth="1"/>
    <col min="4" max="4" width="36.09765625" style="1" customWidth="1"/>
    <col min="5" max="5" width="9.09765625" style="1"/>
    <col min="6" max="6" width="13.19921875" style="1" customWidth="1"/>
    <col min="7" max="7" width="10.3984375" style="1" bestFit="1" customWidth="1"/>
    <col min="8" max="16384" width="9.09765625" style="1"/>
  </cols>
  <sheetData>
    <row r="1" spans="1:37" x14ac:dyDescent="0.25">
      <c r="A1" s="323" t="s">
        <v>582</v>
      </c>
      <c r="B1" s="323"/>
      <c r="C1" s="323"/>
      <c r="D1" s="323"/>
      <c r="E1" s="323"/>
      <c r="F1" s="323"/>
      <c r="G1" s="323"/>
    </row>
    <row r="2" spans="1:37" x14ac:dyDescent="0.25">
      <c r="A2" s="324"/>
      <c r="B2" s="324"/>
      <c r="C2" s="324"/>
      <c r="D2" s="324"/>
      <c r="E2" s="324"/>
      <c r="F2" s="324"/>
      <c r="G2" s="343"/>
    </row>
    <row r="3" spans="1:37" ht="35.25" customHeight="1" x14ac:dyDescent="0.35">
      <c r="A3" s="55" t="s">
        <v>2</v>
      </c>
      <c r="B3" s="55" t="s">
        <v>3</v>
      </c>
      <c r="C3" s="55" t="s">
        <v>531</v>
      </c>
      <c r="D3" s="55" t="s">
        <v>4</v>
      </c>
      <c r="E3" s="56" t="s">
        <v>35</v>
      </c>
      <c r="F3" s="311" t="s">
        <v>534</v>
      </c>
      <c r="G3" s="344" t="s">
        <v>533</v>
      </c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5"/>
      <c r="W3" s="345"/>
      <c r="X3" s="345"/>
      <c r="Y3" s="345"/>
      <c r="Z3" s="345"/>
      <c r="AA3" s="345"/>
      <c r="AB3" s="345"/>
      <c r="AC3" s="345"/>
      <c r="AD3" s="345"/>
      <c r="AE3" s="345"/>
      <c r="AF3" s="345"/>
      <c r="AG3" s="345"/>
      <c r="AH3" s="345"/>
      <c r="AI3" s="345"/>
      <c r="AJ3" s="345"/>
      <c r="AK3" s="346"/>
    </row>
    <row r="4" spans="1:37" ht="30.75" customHeight="1" x14ac:dyDescent="0.35">
      <c r="A4" s="325" t="s">
        <v>36</v>
      </c>
      <c r="B4" s="326"/>
      <c r="C4" s="326"/>
      <c r="D4" s="326"/>
      <c r="E4" s="57"/>
      <c r="F4" s="312"/>
      <c r="G4" s="19">
        <v>1</v>
      </c>
      <c r="H4" s="19">
        <v>2</v>
      </c>
      <c r="I4" s="19">
        <v>3</v>
      </c>
      <c r="J4" s="19">
        <v>4</v>
      </c>
      <c r="K4" s="19">
        <v>5</v>
      </c>
      <c r="L4" s="19">
        <v>6</v>
      </c>
      <c r="M4" s="19">
        <v>7</v>
      </c>
      <c r="N4" s="19">
        <v>8</v>
      </c>
      <c r="O4" s="19">
        <v>9</v>
      </c>
      <c r="P4" s="19">
        <v>10</v>
      </c>
      <c r="Q4" s="19">
        <v>11</v>
      </c>
      <c r="R4" s="19">
        <v>12</v>
      </c>
      <c r="S4" s="19">
        <v>13</v>
      </c>
      <c r="T4" s="19">
        <v>14</v>
      </c>
      <c r="U4" s="19">
        <v>15</v>
      </c>
      <c r="V4" s="19">
        <v>16</v>
      </c>
      <c r="W4" s="19">
        <v>17</v>
      </c>
      <c r="X4" s="19">
        <v>18</v>
      </c>
      <c r="Y4" s="19">
        <v>19</v>
      </c>
      <c r="Z4" s="19">
        <v>20</v>
      </c>
      <c r="AA4" s="19">
        <v>21</v>
      </c>
      <c r="AB4" s="19">
        <v>22</v>
      </c>
      <c r="AC4" s="19">
        <v>23</v>
      </c>
      <c r="AD4" s="19">
        <v>24</v>
      </c>
      <c r="AE4" s="19">
        <v>25</v>
      </c>
      <c r="AF4" s="19">
        <v>26</v>
      </c>
      <c r="AG4" s="19">
        <v>27</v>
      </c>
      <c r="AH4" s="19">
        <v>28</v>
      </c>
      <c r="AI4" s="19">
        <v>29</v>
      </c>
      <c r="AJ4" s="19">
        <v>30</v>
      </c>
      <c r="AK4" s="19">
        <v>31</v>
      </c>
    </row>
    <row r="5" spans="1:37" x14ac:dyDescent="0.25">
      <c r="A5" s="3">
        <v>1</v>
      </c>
      <c r="B5" s="313" t="s">
        <v>37</v>
      </c>
      <c r="C5" s="4" t="s">
        <v>38</v>
      </c>
      <c r="D5" s="5" t="s">
        <v>39</v>
      </c>
      <c r="E5" s="58" t="s">
        <v>525</v>
      </c>
      <c r="F5" s="63">
        <f>SUM(G5:AK5)</f>
        <v>8000</v>
      </c>
      <c r="G5" s="76">
        <v>4000</v>
      </c>
      <c r="H5" s="76">
        <v>4000</v>
      </c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</row>
    <row r="6" spans="1:37" x14ac:dyDescent="0.25">
      <c r="A6" s="3">
        <v>2</v>
      </c>
      <c r="B6" s="309"/>
      <c r="C6" s="4" t="s">
        <v>40</v>
      </c>
      <c r="D6" s="6" t="s">
        <v>41</v>
      </c>
      <c r="E6" s="58" t="s">
        <v>525</v>
      </c>
      <c r="F6" s="63">
        <f t="shared" ref="F6:F69" si="0">SUM(G6:AK6)</f>
        <v>0</v>
      </c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</row>
    <row r="7" spans="1:37" x14ac:dyDescent="0.25">
      <c r="A7" s="3">
        <v>3</v>
      </c>
      <c r="B7" s="309"/>
      <c r="C7" s="4" t="s">
        <v>42</v>
      </c>
      <c r="D7" s="7" t="s">
        <v>43</v>
      </c>
      <c r="E7" s="58" t="s">
        <v>525</v>
      </c>
      <c r="F7" s="63">
        <f t="shared" si="0"/>
        <v>0</v>
      </c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</row>
    <row r="8" spans="1:37" x14ac:dyDescent="0.25">
      <c r="A8" s="3">
        <v>4</v>
      </c>
      <c r="B8" s="310"/>
      <c r="C8" s="4" t="s">
        <v>44</v>
      </c>
      <c r="D8" s="8" t="s">
        <v>45</v>
      </c>
      <c r="E8" s="58" t="s">
        <v>525</v>
      </c>
      <c r="F8" s="63">
        <f t="shared" si="0"/>
        <v>0</v>
      </c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</row>
    <row r="9" spans="1:37" x14ac:dyDescent="0.25">
      <c r="A9" s="3">
        <v>5</v>
      </c>
      <c r="B9" s="313" t="s">
        <v>46</v>
      </c>
      <c r="C9" s="4" t="s">
        <v>47</v>
      </c>
      <c r="D9" s="5" t="s">
        <v>39</v>
      </c>
      <c r="E9" s="58" t="s">
        <v>525</v>
      </c>
      <c r="F9" s="63">
        <f t="shared" si="0"/>
        <v>7500</v>
      </c>
      <c r="G9" s="76">
        <v>5000</v>
      </c>
      <c r="H9" s="76">
        <v>2500</v>
      </c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</row>
    <row r="10" spans="1:37" x14ac:dyDescent="0.25">
      <c r="A10" s="3">
        <v>6</v>
      </c>
      <c r="B10" s="309"/>
      <c r="C10" s="4" t="s">
        <v>48</v>
      </c>
      <c r="D10" s="6" t="s">
        <v>41</v>
      </c>
      <c r="E10" s="58" t="s">
        <v>525</v>
      </c>
      <c r="F10" s="63">
        <f t="shared" si="0"/>
        <v>0</v>
      </c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</row>
    <row r="11" spans="1:37" x14ac:dyDescent="0.25">
      <c r="A11" s="3">
        <v>7</v>
      </c>
      <c r="B11" s="309"/>
      <c r="C11" s="4" t="s">
        <v>49</v>
      </c>
      <c r="D11" s="7" t="s">
        <v>50</v>
      </c>
      <c r="E11" s="58" t="s">
        <v>525</v>
      </c>
      <c r="F11" s="63">
        <f t="shared" si="0"/>
        <v>0</v>
      </c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</row>
    <row r="12" spans="1:37" x14ac:dyDescent="0.25">
      <c r="A12" s="3">
        <v>8</v>
      </c>
      <c r="B12" s="309"/>
      <c r="C12" s="4" t="s">
        <v>51</v>
      </c>
      <c r="D12" s="7" t="s">
        <v>43</v>
      </c>
      <c r="E12" s="58" t="s">
        <v>525</v>
      </c>
      <c r="F12" s="63">
        <f t="shared" si="0"/>
        <v>0</v>
      </c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</row>
    <row r="13" spans="1:37" x14ac:dyDescent="0.25">
      <c r="A13" s="3">
        <v>9</v>
      </c>
      <c r="B13" s="310"/>
      <c r="C13" s="4" t="s">
        <v>52</v>
      </c>
      <c r="D13" s="8" t="s">
        <v>45</v>
      </c>
      <c r="E13" s="58" t="s">
        <v>525</v>
      </c>
      <c r="F13" s="63">
        <f t="shared" si="0"/>
        <v>0</v>
      </c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</row>
    <row r="14" spans="1:37" x14ac:dyDescent="0.25">
      <c r="A14" s="3">
        <v>10</v>
      </c>
      <c r="B14" s="313" t="s">
        <v>53</v>
      </c>
      <c r="C14" s="4" t="s">
        <v>54</v>
      </c>
      <c r="D14" s="5" t="s">
        <v>39</v>
      </c>
      <c r="E14" s="58" t="s">
        <v>525</v>
      </c>
      <c r="F14" s="63">
        <f t="shared" si="0"/>
        <v>0</v>
      </c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</row>
    <row r="15" spans="1:37" x14ac:dyDescent="0.25">
      <c r="A15" s="3">
        <v>11</v>
      </c>
      <c r="B15" s="310"/>
      <c r="C15" s="4" t="s">
        <v>55</v>
      </c>
      <c r="D15" s="6" t="s">
        <v>41</v>
      </c>
      <c r="E15" s="58" t="s">
        <v>525</v>
      </c>
      <c r="F15" s="63">
        <f t="shared" si="0"/>
        <v>0</v>
      </c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</row>
    <row r="16" spans="1:37" x14ac:dyDescent="0.25">
      <c r="A16" s="3">
        <v>12</v>
      </c>
      <c r="B16" s="313" t="s">
        <v>56</v>
      </c>
      <c r="C16" s="9" t="s">
        <v>57</v>
      </c>
      <c r="D16" s="10" t="s">
        <v>58</v>
      </c>
      <c r="E16" s="58" t="s">
        <v>525</v>
      </c>
      <c r="F16" s="63">
        <f t="shared" si="0"/>
        <v>10000</v>
      </c>
      <c r="G16" s="76"/>
      <c r="H16" s="76">
        <v>10000</v>
      </c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</row>
    <row r="17" spans="1:37" x14ac:dyDescent="0.25">
      <c r="A17" s="3">
        <v>13</v>
      </c>
      <c r="B17" s="309"/>
      <c r="C17" s="4" t="s">
        <v>59</v>
      </c>
      <c r="D17" s="10" t="s">
        <v>58</v>
      </c>
      <c r="E17" s="58" t="s">
        <v>525</v>
      </c>
      <c r="F17" s="63">
        <f t="shared" si="0"/>
        <v>10000</v>
      </c>
      <c r="G17" s="76"/>
      <c r="H17" s="76">
        <v>10000</v>
      </c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</row>
    <row r="18" spans="1:37" x14ac:dyDescent="0.25">
      <c r="A18" s="3">
        <v>14</v>
      </c>
      <c r="B18" s="310"/>
      <c r="C18" s="9" t="s">
        <v>60</v>
      </c>
      <c r="D18" s="10" t="s">
        <v>58</v>
      </c>
      <c r="E18" s="58" t="s">
        <v>525</v>
      </c>
      <c r="F18" s="63">
        <f t="shared" si="0"/>
        <v>0</v>
      </c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</row>
    <row r="19" spans="1:37" x14ac:dyDescent="0.25">
      <c r="A19" s="3">
        <v>15</v>
      </c>
      <c r="B19" s="306" t="s">
        <v>61</v>
      </c>
      <c r="C19" s="9" t="s">
        <v>62</v>
      </c>
      <c r="D19" s="10" t="s">
        <v>63</v>
      </c>
      <c r="E19" s="58" t="s">
        <v>525</v>
      </c>
      <c r="F19" s="63">
        <f t="shared" si="0"/>
        <v>0</v>
      </c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</row>
    <row r="20" spans="1:37" x14ac:dyDescent="0.25">
      <c r="A20" s="3">
        <v>16</v>
      </c>
      <c r="B20" s="307"/>
      <c r="C20" s="11" t="s">
        <v>64</v>
      </c>
      <c r="D20" s="10" t="s">
        <v>65</v>
      </c>
      <c r="E20" s="58" t="s">
        <v>525</v>
      </c>
      <c r="F20" s="63">
        <f t="shared" si="0"/>
        <v>0</v>
      </c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</row>
    <row r="21" spans="1:37" x14ac:dyDescent="0.25">
      <c r="A21" s="3">
        <v>17</v>
      </c>
      <c r="B21" s="307"/>
      <c r="C21" s="11" t="s">
        <v>66</v>
      </c>
      <c r="D21" s="10" t="s">
        <v>67</v>
      </c>
      <c r="E21" s="58" t="s">
        <v>525</v>
      </c>
      <c r="F21" s="63">
        <f t="shared" si="0"/>
        <v>0</v>
      </c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</row>
    <row r="22" spans="1:37" x14ac:dyDescent="0.25">
      <c r="A22" s="3">
        <v>18</v>
      </c>
      <c r="B22" s="307"/>
      <c r="C22" s="11" t="s">
        <v>68</v>
      </c>
      <c r="D22" s="10" t="s">
        <v>69</v>
      </c>
      <c r="E22" s="58" t="s">
        <v>525</v>
      </c>
      <c r="F22" s="63">
        <f t="shared" si="0"/>
        <v>0</v>
      </c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</row>
    <row r="23" spans="1:37" x14ac:dyDescent="0.25">
      <c r="A23" s="3">
        <v>19</v>
      </c>
      <c r="B23" s="308"/>
      <c r="C23" s="11" t="s">
        <v>70</v>
      </c>
      <c r="D23" s="10" t="s">
        <v>71</v>
      </c>
      <c r="E23" s="58" t="s">
        <v>525</v>
      </c>
      <c r="F23" s="63">
        <f t="shared" si="0"/>
        <v>0</v>
      </c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</row>
    <row r="24" spans="1:37" x14ac:dyDescent="0.25">
      <c r="A24" s="3">
        <v>20</v>
      </c>
      <c r="B24" s="306" t="s">
        <v>72</v>
      </c>
      <c r="C24" s="9" t="s">
        <v>73</v>
      </c>
      <c r="D24" s="10" t="s">
        <v>74</v>
      </c>
      <c r="E24" s="58" t="s">
        <v>525</v>
      </c>
      <c r="F24" s="63">
        <f t="shared" si="0"/>
        <v>0</v>
      </c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</row>
    <row r="25" spans="1:37" x14ac:dyDescent="0.25">
      <c r="A25" s="3">
        <v>21</v>
      </c>
      <c r="B25" s="307"/>
      <c r="C25" s="9" t="s">
        <v>75</v>
      </c>
      <c r="D25" s="10" t="s">
        <v>76</v>
      </c>
      <c r="E25" s="58" t="s">
        <v>525</v>
      </c>
      <c r="F25" s="63">
        <f t="shared" si="0"/>
        <v>0</v>
      </c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</row>
    <row r="26" spans="1:37" x14ac:dyDescent="0.25">
      <c r="A26" s="3">
        <v>22</v>
      </c>
      <c r="B26" s="307"/>
      <c r="C26" s="9" t="s">
        <v>77</v>
      </c>
      <c r="D26" s="10" t="s">
        <v>78</v>
      </c>
      <c r="E26" s="58" t="s">
        <v>525</v>
      </c>
      <c r="F26" s="63">
        <f t="shared" si="0"/>
        <v>0</v>
      </c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</row>
    <row r="27" spans="1:37" x14ac:dyDescent="0.25">
      <c r="A27" s="3">
        <v>23</v>
      </c>
      <c r="B27" s="308"/>
      <c r="C27" s="9" t="s">
        <v>79</v>
      </c>
      <c r="D27" s="10" t="s">
        <v>80</v>
      </c>
      <c r="E27" s="58" t="s">
        <v>525</v>
      </c>
      <c r="F27" s="63">
        <f t="shared" si="0"/>
        <v>0</v>
      </c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</row>
    <row r="28" spans="1:37" x14ac:dyDescent="0.25">
      <c r="A28" s="3">
        <v>24</v>
      </c>
      <c r="B28" s="306" t="s">
        <v>81</v>
      </c>
      <c r="C28" s="11" t="s">
        <v>82</v>
      </c>
      <c r="D28" s="10" t="s">
        <v>83</v>
      </c>
      <c r="E28" s="58" t="s">
        <v>525</v>
      </c>
      <c r="F28" s="63">
        <f t="shared" si="0"/>
        <v>10000</v>
      </c>
      <c r="G28" s="76">
        <v>10000</v>
      </c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</row>
    <row r="29" spans="1:37" x14ac:dyDescent="0.25">
      <c r="A29" s="3">
        <v>25</v>
      </c>
      <c r="B29" s="307"/>
      <c r="C29" s="11" t="s">
        <v>84</v>
      </c>
      <c r="D29" s="10" t="s">
        <v>85</v>
      </c>
      <c r="E29" s="58" t="s">
        <v>525</v>
      </c>
      <c r="F29" s="63">
        <f t="shared" si="0"/>
        <v>0</v>
      </c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</row>
    <row r="30" spans="1:37" x14ac:dyDescent="0.25">
      <c r="A30" s="3">
        <v>26</v>
      </c>
      <c r="B30" s="307"/>
      <c r="C30" s="11" t="s">
        <v>86</v>
      </c>
      <c r="D30" s="10" t="s">
        <v>87</v>
      </c>
      <c r="E30" s="58" t="s">
        <v>525</v>
      </c>
      <c r="F30" s="63">
        <f t="shared" si="0"/>
        <v>0</v>
      </c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</row>
    <row r="31" spans="1:37" x14ac:dyDescent="0.25">
      <c r="A31" s="3">
        <v>27</v>
      </c>
      <c r="B31" s="307"/>
      <c r="C31" s="11" t="s">
        <v>88</v>
      </c>
      <c r="D31" s="10" t="s">
        <v>89</v>
      </c>
      <c r="E31" s="58" t="s">
        <v>525</v>
      </c>
      <c r="F31" s="63">
        <f t="shared" si="0"/>
        <v>0</v>
      </c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</row>
    <row r="32" spans="1:37" x14ac:dyDescent="0.25">
      <c r="A32" s="3">
        <v>28</v>
      </c>
      <c r="B32" s="308"/>
      <c r="C32" s="11" t="s">
        <v>90</v>
      </c>
      <c r="D32" s="10" t="s">
        <v>91</v>
      </c>
      <c r="E32" s="58" t="s">
        <v>525</v>
      </c>
      <c r="F32" s="63">
        <f t="shared" si="0"/>
        <v>0</v>
      </c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</row>
    <row r="33" spans="1:37" x14ac:dyDescent="0.25">
      <c r="A33" s="3">
        <v>29</v>
      </c>
      <c r="B33" s="9" t="s">
        <v>92</v>
      </c>
      <c r="C33" s="9" t="s">
        <v>93</v>
      </c>
      <c r="D33" s="10" t="s">
        <v>94</v>
      </c>
      <c r="E33" s="58" t="s">
        <v>525</v>
      </c>
      <c r="F33" s="63">
        <f t="shared" si="0"/>
        <v>8160</v>
      </c>
      <c r="G33" s="76"/>
      <c r="H33" s="76">
        <v>8160</v>
      </c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</row>
    <row r="34" spans="1:37" x14ac:dyDescent="0.25">
      <c r="A34" s="3">
        <v>30</v>
      </c>
      <c r="B34" s="306" t="s">
        <v>95</v>
      </c>
      <c r="C34" s="9" t="s">
        <v>96</v>
      </c>
      <c r="D34" s="10" t="s">
        <v>97</v>
      </c>
      <c r="E34" s="58" t="s">
        <v>525</v>
      </c>
      <c r="F34" s="63">
        <f t="shared" si="0"/>
        <v>8000</v>
      </c>
      <c r="G34" s="76">
        <v>4000</v>
      </c>
      <c r="H34" s="76">
        <v>4000</v>
      </c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</row>
    <row r="35" spans="1:37" x14ac:dyDescent="0.25">
      <c r="A35" s="3">
        <v>31</v>
      </c>
      <c r="B35" s="307"/>
      <c r="C35" s="11" t="s">
        <v>98</v>
      </c>
      <c r="D35" s="10" t="s">
        <v>99</v>
      </c>
      <c r="E35" s="58" t="s">
        <v>525</v>
      </c>
      <c r="F35" s="63">
        <f t="shared" si="0"/>
        <v>0</v>
      </c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</row>
    <row r="36" spans="1:37" x14ac:dyDescent="0.25">
      <c r="A36" s="3">
        <v>32</v>
      </c>
      <c r="B36" s="307"/>
      <c r="C36" s="11" t="s">
        <v>100</v>
      </c>
      <c r="D36" s="10" t="s">
        <v>101</v>
      </c>
      <c r="E36" s="58" t="s">
        <v>525</v>
      </c>
      <c r="F36" s="63">
        <f t="shared" si="0"/>
        <v>4000</v>
      </c>
      <c r="G36" s="76">
        <v>4000</v>
      </c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</row>
    <row r="37" spans="1:37" x14ac:dyDescent="0.25">
      <c r="A37" s="3">
        <v>33</v>
      </c>
      <c r="B37" s="307"/>
      <c r="C37" s="11" t="s">
        <v>102</v>
      </c>
      <c r="D37" s="10" t="s">
        <v>103</v>
      </c>
      <c r="E37" s="58" t="s">
        <v>525</v>
      </c>
      <c r="F37" s="63">
        <f t="shared" si="0"/>
        <v>0</v>
      </c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</row>
    <row r="38" spans="1:37" x14ac:dyDescent="0.25">
      <c r="A38" s="3">
        <v>34</v>
      </c>
      <c r="B38" s="306" t="s">
        <v>104</v>
      </c>
      <c r="C38" s="9" t="s">
        <v>105</v>
      </c>
      <c r="D38" s="10" t="s">
        <v>106</v>
      </c>
      <c r="E38" s="58" t="s">
        <v>525</v>
      </c>
      <c r="F38" s="63">
        <f t="shared" si="0"/>
        <v>8000</v>
      </c>
      <c r="G38" s="76">
        <v>4000</v>
      </c>
      <c r="H38" s="76">
        <v>4000</v>
      </c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</row>
    <row r="39" spans="1:37" x14ac:dyDescent="0.25">
      <c r="A39" s="3">
        <v>35</v>
      </c>
      <c r="B39" s="307"/>
      <c r="C39" s="11" t="s">
        <v>107</v>
      </c>
      <c r="D39" s="10" t="s">
        <v>108</v>
      </c>
      <c r="E39" s="58" t="s">
        <v>525</v>
      </c>
      <c r="F39" s="63">
        <f t="shared" si="0"/>
        <v>0</v>
      </c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</row>
    <row r="40" spans="1:37" x14ac:dyDescent="0.25">
      <c r="A40" s="3">
        <v>36</v>
      </c>
      <c r="B40" s="307"/>
      <c r="C40" s="11" t="s">
        <v>109</v>
      </c>
      <c r="D40" s="10" t="s">
        <v>110</v>
      </c>
      <c r="E40" s="58" t="s">
        <v>525</v>
      </c>
      <c r="F40" s="63">
        <f t="shared" si="0"/>
        <v>4000</v>
      </c>
      <c r="G40" s="76">
        <v>4000</v>
      </c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</row>
    <row r="41" spans="1:37" x14ac:dyDescent="0.25">
      <c r="A41" s="3">
        <v>37</v>
      </c>
      <c r="B41" s="308"/>
      <c r="C41" s="11" t="s">
        <v>111</v>
      </c>
      <c r="D41" s="10" t="s">
        <v>112</v>
      </c>
      <c r="E41" s="58" t="s">
        <v>525</v>
      </c>
      <c r="F41" s="63">
        <f t="shared" si="0"/>
        <v>0</v>
      </c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</row>
    <row r="42" spans="1:37" x14ac:dyDescent="0.25">
      <c r="A42" s="3">
        <v>38</v>
      </c>
      <c r="B42" s="306" t="s">
        <v>113</v>
      </c>
      <c r="C42" s="9" t="s">
        <v>114</v>
      </c>
      <c r="D42" s="10" t="s">
        <v>115</v>
      </c>
      <c r="E42" s="58" t="s">
        <v>525</v>
      </c>
      <c r="F42" s="63">
        <f t="shared" si="0"/>
        <v>8000</v>
      </c>
      <c r="G42" s="76">
        <v>4000</v>
      </c>
      <c r="H42" s="76">
        <v>4000</v>
      </c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</row>
    <row r="43" spans="1:37" x14ac:dyDescent="0.25">
      <c r="A43" s="3">
        <v>39</v>
      </c>
      <c r="B43" s="309"/>
      <c r="C43" s="11" t="s">
        <v>116</v>
      </c>
      <c r="D43" s="10" t="s">
        <v>117</v>
      </c>
      <c r="E43" s="58" t="s">
        <v>525</v>
      </c>
      <c r="F43" s="63">
        <f t="shared" si="0"/>
        <v>0</v>
      </c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</row>
    <row r="44" spans="1:37" x14ac:dyDescent="0.25">
      <c r="A44" s="3">
        <v>40</v>
      </c>
      <c r="B44" s="309"/>
      <c r="C44" s="11" t="s">
        <v>118</v>
      </c>
      <c r="D44" s="10" t="s">
        <v>119</v>
      </c>
      <c r="E44" s="58" t="s">
        <v>525</v>
      </c>
      <c r="F44" s="63">
        <f t="shared" si="0"/>
        <v>4000</v>
      </c>
      <c r="G44" s="76">
        <v>4000</v>
      </c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</row>
    <row r="45" spans="1:37" x14ac:dyDescent="0.25">
      <c r="A45" s="3">
        <v>41</v>
      </c>
      <c r="B45" s="310"/>
      <c r="C45" s="11" t="s">
        <v>120</v>
      </c>
      <c r="D45" s="10" t="s">
        <v>121</v>
      </c>
      <c r="E45" s="58" t="s">
        <v>525</v>
      </c>
      <c r="F45" s="63">
        <f t="shared" si="0"/>
        <v>0</v>
      </c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</row>
    <row r="46" spans="1:37" x14ac:dyDescent="0.25">
      <c r="A46" s="3">
        <v>42</v>
      </c>
      <c r="B46" s="306" t="s">
        <v>122</v>
      </c>
      <c r="C46" s="9" t="s">
        <v>123</v>
      </c>
      <c r="D46" s="10" t="s">
        <v>124</v>
      </c>
      <c r="E46" s="58" t="s">
        <v>525</v>
      </c>
      <c r="F46" s="63">
        <f t="shared" si="0"/>
        <v>10000</v>
      </c>
      <c r="G46" s="76">
        <v>10000</v>
      </c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</row>
    <row r="47" spans="1:37" x14ac:dyDescent="0.25">
      <c r="A47" s="3">
        <v>43</v>
      </c>
      <c r="B47" s="308"/>
      <c r="C47" s="9" t="s">
        <v>125</v>
      </c>
      <c r="D47" s="10" t="s">
        <v>124</v>
      </c>
      <c r="E47" s="58" t="s">
        <v>525</v>
      </c>
      <c r="F47" s="63">
        <f t="shared" si="0"/>
        <v>0</v>
      </c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</row>
    <row r="48" spans="1:37" x14ac:dyDescent="0.25">
      <c r="A48" s="3">
        <v>44</v>
      </c>
      <c r="B48" s="330" t="s">
        <v>126</v>
      </c>
      <c r="C48" s="12"/>
      <c r="D48" s="12" t="s">
        <v>127</v>
      </c>
      <c r="E48" s="59" t="s">
        <v>526</v>
      </c>
      <c r="F48" s="63">
        <f t="shared" si="0"/>
        <v>3</v>
      </c>
      <c r="G48" s="76">
        <v>3</v>
      </c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</row>
    <row r="49" spans="1:37" x14ac:dyDescent="0.25">
      <c r="A49" s="3">
        <v>45</v>
      </c>
      <c r="B49" s="331"/>
      <c r="C49" s="13" t="s">
        <v>128</v>
      </c>
      <c r="D49" s="12" t="s">
        <v>129</v>
      </c>
      <c r="E49" s="59" t="s">
        <v>526</v>
      </c>
      <c r="F49" s="63">
        <f t="shared" si="0"/>
        <v>2</v>
      </c>
      <c r="G49" s="76"/>
      <c r="H49" s="76">
        <v>2</v>
      </c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</row>
    <row r="50" spans="1:37" x14ac:dyDescent="0.25">
      <c r="A50" s="3">
        <v>46</v>
      </c>
      <c r="B50" s="332" t="s">
        <v>130</v>
      </c>
      <c r="C50" s="14" t="s">
        <v>131</v>
      </c>
      <c r="D50" s="15" t="s">
        <v>132</v>
      </c>
      <c r="E50" s="60" t="s">
        <v>526</v>
      </c>
      <c r="F50" s="63">
        <f t="shared" si="0"/>
        <v>0</v>
      </c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</row>
    <row r="51" spans="1:37" x14ac:dyDescent="0.25">
      <c r="A51" s="3">
        <v>47</v>
      </c>
      <c r="B51" s="333"/>
      <c r="C51" s="14" t="s">
        <v>133</v>
      </c>
      <c r="D51" s="16" t="s">
        <v>134</v>
      </c>
      <c r="E51" s="60" t="s">
        <v>527</v>
      </c>
      <c r="F51" s="63">
        <f t="shared" si="0"/>
        <v>0</v>
      </c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</row>
    <row r="52" spans="1:37" x14ac:dyDescent="0.25">
      <c r="A52" s="3">
        <v>48</v>
      </c>
      <c r="B52" s="333"/>
      <c r="C52" s="14" t="s">
        <v>135</v>
      </c>
      <c r="D52" s="16" t="s">
        <v>136</v>
      </c>
      <c r="E52" s="60" t="s">
        <v>526</v>
      </c>
      <c r="F52" s="63">
        <f t="shared" si="0"/>
        <v>0</v>
      </c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</row>
    <row r="53" spans="1:37" x14ac:dyDescent="0.25">
      <c r="A53" s="3">
        <v>49</v>
      </c>
      <c r="B53" s="333"/>
      <c r="C53" s="14" t="s">
        <v>135</v>
      </c>
      <c r="D53" s="16">
        <v>11495</v>
      </c>
      <c r="E53" s="60" t="s">
        <v>526</v>
      </c>
      <c r="F53" s="63">
        <f t="shared" si="0"/>
        <v>0</v>
      </c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</row>
    <row r="54" spans="1:37" x14ac:dyDescent="0.25">
      <c r="A54" s="3">
        <v>50</v>
      </c>
      <c r="B54" s="333"/>
      <c r="C54" s="14" t="s">
        <v>135</v>
      </c>
      <c r="D54" s="16" t="s">
        <v>137</v>
      </c>
      <c r="E54" s="60" t="s">
        <v>526</v>
      </c>
      <c r="F54" s="63">
        <f t="shared" si="0"/>
        <v>0</v>
      </c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</row>
    <row r="55" spans="1:37" x14ac:dyDescent="0.25">
      <c r="A55" s="3">
        <v>51</v>
      </c>
      <c r="B55" s="334"/>
      <c r="C55" s="14" t="s">
        <v>135</v>
      </c>
      <c r="D55" s="16" t="s">
        <v>138</v>
      </c>
      <c r="E55" s="60" t="s">
        <v>526</v>
      </c>
      <c r="F55" s="63">
        <f t="shared" si="0"/>
        <v>0</v>
      </c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</row>
    <row r="56" spans="1:37" x14ac:dyDescent="0.25">
      <c r="A56" s="3">
        <v>52</v>
      </c>
      <c r="B56" s="332" t="s">
        <v>139</v>
      </c>
      <c r="C56" s="14" t="s">
        <v>131</v>
      </c>
      <c r="D56" s="16" t="s">
        <v>140</v>
      </c>
      <c r="E56" s="60" t="s">
        <v>526</v>
      </c>
      <c r="F56" s="63">
        <f t="shared" si="0"/>
        <v>50</v>
      </c>
      <c r="G56" s="76"/>
      <c r="H56" s="76">
        <v>50</v>
      </c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</row>
    <row r="57" spans="1:37" x14ac:dyDescent="0.25">
      <c r="A57" s="3">
        <v>53</v>
      </c>
      <c r="B57" s="333"/>
      <c r="C57" s="14" t="s">
        <v>133</v>
      </c>
      <c r="D57" s="16" t="s">
        <v>141</v>
      </c>
      <c r="E57" s="60" t="s">
        <v>527</v>
      </c>
      <c r="F57" s="63">
        <f t="shared" si="0"/>
        <v>2</v>
      </c>
      <c r="G57" s="76"/>
      <c r="H57" s="76">
        <v>2</v>
      </c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</row>
    <row r="58" spans="1:37" x14ac:dyDescent="0.25">
      <c r="A58" s="3">
        <v>54</v>
      </c>
      <c r="B58" s="333"/>
      <c r="C58" s="14" t="s">
        <v>133</v>
      </c>
      <c r="D58" s="16" t="s">
        <v>142</v>
      </c>
      <c r="E58" s="60" t="s">
        <v>527</v>
      </c>
      <c r="F58" s="63">
        <f t="shared" si="0"/>
        <v>0</v>
      </c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</row>
    <row r="59" spans="1:37" x14ac:dyDescent="0.25">
      <c r="A59" s="3">
        <v>55</v>
      </c>
      <c r="B59" s="333"/>
      <c r="C59" s="14" t="s">
        <v>133</v>
      </c>
      <c r="D59" s="16" t="s">
        <v>143</v>
      </c>
      <c r="E59" s="60" t="s">
        <v>527</v>
      </c>
      <c r="F59" s="63">
        <f t="shared" si="0"/>
        <v>0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</row>
    <row r="60" spans="1:37" x14ac:dyDescent="0.25">
      <c r="A60" s="3">
        <v>56</v>
      </c>
      <c r="B60" s="334"/>
      <c r="C60" s="14" t="s">
        <v>135</v>
      </c>
      <c r="D60" s="16" t="s">
        <v>144</v>
      </c>
      <c r="E60" s="60" t="s">
        <v>526</v>
      </c>
      <c r="F60" s="63">
        <f t="shared" si="0"/>
        <v>0</v>
      </c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</row>
    <row r="61" spans="1:37" x14ac:dyDescent="0.25">
      <c r="A61" s="3">
        <v>57</v>
      </c>
      <c r="B61" s="317" t="s">
        <v>145</v>
      </c>
      <c r="C61" s="14" t="s">
        <v>146</v>
      </c>
      <c r="D61" s="16" t="s">
        <v>147</v>
      </c>
      <c r="E61" s="60" t="s">
        <v>526</v>
      </c>
      <c r="F61" s="63">
        <f t="shared" si="0"/>
        <v>50</v>
      </c>
      <c r="G61" s="76">
        <v>25</v>
      </c>
      <c r="H61" s="76">
        <v>25</v>
      </c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</row>
    <row r="62" spans="1:37" x14ac:dyDescent="0.25">
      <c r="A62" s="3">
        <v>58</v>
      </c>
      <c r="B62" s="318"/>
      <c r="C62" s="14" t="s">
        <v>135</v>
      </c>
      <c r="D62" s="16" t="s">
        <v>148</v>
      </c>
      <c r="E62" s="60" t="s">
        <v>526</v>
      </c>
      <c r="F62" s="63">
        <f t="shared" si="0"/>
        <v>0</v>
      </c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</row>
    <row r="63" spans="1:37" x14ac:dyDescent="0.25">
      <c r="A63" s="3">
        <v>59</v>
      </c>
      <c r="B63" s="318"/>
      <c r="C63" s="14" t="s">
        <v>135</v>
      </c>
      <c r="D63" s="16" t="s">
        <v>149</v>
      </c>
      <c r="E63" s="60" t="s">
        <v>526</v>
      </c>
      <c r="F63" s="63">
        <f t="shared" si="0"/>
        <v>0</v>
      </c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</row>
    <row r="64" spans="1:37" x14ac:dyDescent="0.25">
      <c r="A64" s="3">
        <v>60</v>
      </c>
      <c r="B64" s="318"/>
      <c r="C64" s="14" t="s">
        <v>135</v>
      </c>
      <c r="D64" s="16" t="s">
        <v>574</v>
      </c>
      <c r="E64" s="60" t="s">
        <v>526</v>
      </c>
      <c r="F64" s="63">
        <f t="shared" si="0"/>
        <v>0</v>
      </c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</row>
    <row r="65" spans="1:37" x14ac:dyDescent="0.25">
      <c r="A65" s="3">
        <v>61</v>
      </c>
      <c r="B65" s="319"/>
      <c r="C65" s="14" t="s">
        <v>135</v>
      </c>
      <c r="D65" s="16" t="s">
        <v>151</v>
      </c>
      <c r="E65" s="60" t="s">
        <v>526</v>
      </c>
      <c r="F65" s="63">
        <f t="shared" si="0"/>
        <v>0</v>
      </c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</row>
    <row r="66" spans="1:37" x14ac:dyDescent="0.25">
      <c r="A66" s="3">
        <v>62</v>
      </c>
      <c r="B66" s="317" t="s">
        <v>152</v>
      </c>
      <c r="C66" s="14" t="s">
        <v>131</v>
      </c>
      <c r="D66" s="16" t="s">
        <v>153</v>
      </c>
      <c r="E66" s="60" t="s">
        <v>526</v>
      </c>
      <c r="F66" s="63">
        <f t="shared" si="0"/>
        <v>50</v>
      </c>
      <c r="G66" s="76">
        <v>25</v>
      </c>
      <c r="H66" s="76">
        <v>25</v>
      </c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</row>
    <row r="67" spans="1:37" x14ac:dyDescent="0.25">
      <c r="A67" s="3">
        <v>63</v>
      </c>
      <c r="B67" s="318"/>
      <c r="C67" s="14" t="s">
        <v>131</v>
      </c>
      <c r="D67" s="16" t="s">
        <v>154</v>
      </c>
      <c r="E67" s="60" t="s">
        <v>526</v>
      </c>
      <c r="F67" s="63">
        <f t="shared" si="0"/>
        <v>125</v>
      </c>
      <c r="G67" s="76">
        <v>50</v>
      </c>
      <c r="H67" s="76">
        <v>75</v>
      </c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</row>
    <row r="68" spans="1:37" x14ac:dyDescent="0.25">
      <c r="A68" s="3">
        <v>64</v>
      </c>
      <c r="B68" s="318"/>
      <c r="C68" s="14" t="s">
        <v>133</v>
      </c>
      <c r="D68" s="16" t="s">
        <v>155</v>
      </c>
      <c r="E68" s="60" t="s">
        <v>527</v>
      </c>
      <c r="F68" s="63">
        <f t="shared" si="0"/>
        <v>2</v>
      </c>
      <c r="G68" s="76">
        <v>1</v>
      </c>
      <c r="H68" s="76">
        <v>1</v>
      </c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</row>
    <row r="69" spans="1:37" x14ac:dyDescent="0.25">
      <c r="A69" s="3">
        <v>65</v>
      </c>
      <c r="B69" s="318"/>
      <c r="C69" s="14" t="s">
        <v>133</v>
      </c>
      <c r="D69" s="16" t="s">
        <v>156</v>
      </c>
      <c r="E69" s="60" t="s">
        <v>527</v>
      </c>
      <c r="F69" s="63">
        <f t="shared" si="0"/>
        <v>2</v>
      </c>
      <c r="G69" s="76">
        <v>1</v>
      </c>
      <c r="H69" s="76">
        <v>1</v>
      </c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  <c r="AJ69" s="76"/>
      <c r="AK69" s="76"/>
    </row>
    <row r="70" spans="1:37" x14ac:dyDescent="0.25">
      <c r="A70" s="3">
        <v>66</v>
      </c>
      <c r="B70" s="318"/>
      <c r="C70" s="14" t="s">
        <v>133</v>
      </c>
      <c r="D70" s="16" t="s">
        <v>157</v>
      </c>
      <c r="E70" s="60" t="s">
        <v>527</v>
      </c>
      <c r="F70" s="63">
        <f t="shared" ref="F70:F88" si="1">SUM(G70:AK70)</f>
        <v>0</v>
      </c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76"/>
      <c r="AK70" s="76"/>
    </row>
    <row r="71" spans="1:37" x14ac:dyDescent="0.25">
      <c r="A71" s="3">
        <v>67</v>
      </c>
      <c r="B71" s="318"/>
      <c r="C71" s="14" t="s">
        <v>133</v>
      </c>
      <c r="D71" s="16">
        <v>11301</v>
      </c>
      <c r="E71" s="60" t="s">
        <v>527</v>
      </c>
      <c r="F71" s="63">
        <f t="shared" si="1"/>
        <v>0</v>
      </c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6"/>
      <c r="AH71" s="76"/>
      <c r="AI71" s="76"/>
      <c r="AJ71" s="76"/>
      <c r="AK71" s="76"/>
    </row>
    <row r="72" spans="1:37" x14ac:dyDescent="0.25">
      <c r="A72" s="3">
        <v>68</v>
      </c>
      <c r="B72" s="318"/>
      <c r="C72" s="14" t="s">
        <v>133</v>
      </c>
      <c r="D72" s="16">
        <v>51238</v>
      </c>
      <c r="E72" s="60" t="s">
        <v>527</v>
      </c>
      <c r="F72" s="63">
        <f t="shared" si="1"/>
        <v>0</v>
      </c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</row>
    <row r="73" spans="1:37" x14ac:dyDescent="0.25">
      <c r="A73" s="3">
        <v>69</v>
      </c>
      <c r="B73" s="318"/>
      <c r="C73" s="14" t="s">
        <v>133</v>
      </c>
      <c r="D73" s="16" t="s">
        <v>158</v>
      </c>
      <c r="E73" s="60" t="s">
        <v>527</v>
      </c>
      <c r="F73" s="63">
        <f t="shared" si="1"/>
        <v>0</v>
      </c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</row>
    <row r="74" spans="1:37" x14ac:dyDescent="0.25">
      <c r="A74" s="3">
        <v>70</v>
      </c>
      <c r="B74" s="318"/>
      <c r="C74" s="14" t="s">
        <v>133</v>
      </c>
      <c r="D74" s="16" t="s">
        <v>159</v>
      </c>
      <c r="E74" s="60" t="s">
        <v>527</v>
      </c>
      <c r="F74" s="63">
        <f t="shared" si="1"/>
        <v>0</v>
      </c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</row>
    <row r="75" spans="1:37" x14ac:dyDescent="0.25">
      <c r="A75" s="3">
        <v>71</v>
      </c>
      <c r="B75" s="319"/>
      <c r="C75" s="14" t="s">
        <v>133</v>
      </c>
      <c r="D75" s="16" t="s">
        <v>160</v>
      </c>
      <c r="E75" s="60" t="s">
        <v>527</v>
      </c>
      <c r="F75" s="63">
        <f t="shared" si="1"/>
        <v>0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</row>
    <row r="76" spans="1:37" x14ac:dyDescent="0.25">
      <c r="A76" s="3">
        <v>72</v>
      </c>
      <c r="B76" s="317" t="s">
        <v>161</v>
      </c>
      <c r="C76" s="14"/>
      <c r="D76" s="16" t="s">
        <v>162</v>
      </c>
      <c r="E76" s="60" t="s">
        <v>526</v>
      </c>
      <c r="F76" s="63">
        <f t="shared" si="1"/>
        <v>25</v>
      </c>
      <c r="G76" s="76"/>
      <c r="H76" s="76">
        <v>25</v>
      </c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</row>
    <row r="77" spans="1:37" x14ac:dyDescent="0.25">
      <c r="A77" s="3">
        <v>73</v>
      </c>
      <c r="B77" s="318"/>
      <c r="C77" s="14" t="s">
        <v>133</v>
      </c>
      <c r="D77" s="16" t="s">
        <v>163</v>
      </c>
      <c r="E77" s="60" t="s">
        <v>527</v>
      </c>
      <c r="F77" s="63">
        <f t="shared" si="1"/>
        <v>1</v>
      </c>
      <c r="G77" s="76"/>
      <c r="H77" s="76">
        <v>1</v>
      </c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</row>
    <row r="78" spans="1:37" x14ac:dyDescent="0.25">
      <c r="A78" s="3">
        <v>74</v>
      </c>
      <c r="B78" s="319"/>
      <c r="C78" s="14"/>
      <c r="D78" s="16" t="s">
        <v>164</v>
      </c>
      <c r="E78" s="60" t="s">
        <v>526</v>
      </c>
      <c r="F78" s="63">
        <f t="shared" si="1"/>
        <v>0</v>
      </c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</row>
    <row r="79" spans="1:37" x14ac:dyDescent="0.25">
      <c r="A79" s="3">
        <v>75</v>
      </c>
      <c r="B79" s="317" t="s">
        <v>165</v>
      </c>
      <c r="C79" s="14" t="s">
        <v>133</v>
      </c>
      <c r="D79" s="16" t="s">
        <v>166</v>
      </c>
      <c r="E79" s="60" t="s">
        <v>527</v>
      </c>
      <c r="F79" s="63">
        <f t="shared" si="1"/>
        <v>0</v>
      </c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</row>
    <row r="80" spans="1:37" x14ac:dyDescent="0.25">
      <c r="A80" s="3">
        <v>76</v>
      </c>
      <c r="B80" s="318"/>
      <c r="C80" s="14" t="s">
        <v>133</v>
      </c>
      <c r="D80" s="16" t="s">
        <v>167</v>
      </c>
      <c r="E80" s="60" t="s">
        <v>527</v>
      </c>
      <c r="F80" s="63">
        <f t="shared" si="1"/>
        <v>3</v>
      </c>
      <c r="G80" s="76">
        <v>1</v>
      </c>
      <c r="H80" s="76">
        <v>2</v>
      </c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</row>
    <row r="81" spans="1:37" x14ac:dyDescent="0.25">
      <c r="A81" s="3">
        <v>77</v>
      </c>
      <c r="B81" s="318"/>
      <c r="C81" s="14" t="s">
        <v>133</v>
      </c>
      <c r="D81" s="16" t="s">
        <v>168</v>
      </c>
      <c r="E81" s="60" t="s">
        <v>527</v>
      </c>
      <c r="F81" s="63">
        <f t="shared" si="1"/>
        <v>0</v>
      </c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</row>
    <row r="82" spans="1:37" x14ac:dyDescent="0.25">
      <c r="A82" s="3">
        <v>78</v>
      </c>
      <c r="B82" s="318"/>
      <c r="C82" s="14" t="s">
        <v>133</v>
      </c>
      <c r="D82" s="16" t="s">
        <v>169</v>
      </c>
      <c r="E82" s="60" t="s">
        <v>527</v>
      </c>
      <c r="F82" s="63">
        <f t="shared" si="1"/>
        <v>0</v>
      </c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</row>
    <row r="83" spans="1:37" x14ac:dyDescent="0.25">
      <c r="A83" s="3">
        <v>79</v>
      </c>
      <c r="B83" s="318"/>
      <c r="C83" s="14" t="s">
        <v>133</v>
      </c>
      <c r="D83" s="16" t="s">
        <v>170</v>
      </c>
      <c r="E83" s="60" t="s">
        <v>527</v>
      </c>
      <c r="F83" s="63">
        <f t="shared" si="1"/>
        <v>0</v>
      </c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</row>
    <row r="84" spans="1:37" x14ac:dyDescent="0.25">
      <c r="A84" s="3">
        <v>80</v>
      </c>
      <c r="B84" s="17"/>
      <c r="C84" s="14"/>
      <c r="D84" s="18" t="s">
        <v>171</v>
      </c>
      <c r="E84" s="60" t="s">
        <v>526</v>
      </c>
      <c r="F84" s="63">
        <f t="shared" si="1"/>
        <v>0</v>
      </c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</row>
    <row r="85" spans="1:37" x14ac:dyDescent="0.25">
      <c r="A85" s="3">
        <v>81</v>
      </c>
      <c r="B85" s="17"/>
      <c r="C85" s="14"/>
      <c r="D85" s="18" t="s">
        <v>172</v>
      </c>
      <c r="E85" s="60" t="s">
        <v>526</v>
      </c>
      <c r="F85" s="63">
        <f t="shared" si="1"/>
        <v>0</v>
      </c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</row>
    <row r="86" spans="1:37" x14ac:dyDescent="0.25">
      <c r="A86" s="3">
        <v>82</v>
      </c>
      <c r="B86" s="17"/>
      <c r="C86" s="14"/>
      <c r="D86" s="18" t="s">
        <v>173</v>
      </c>
      <c r="E86" s="60" t="s">
        <v>526</v>
      </c>
      <c r="F86" s="63">
        <f t="shared" si="1"/>
        <v>267.3</v>
      </c>
      <c r="G86" s="76"/>
      <c r="H86" s="77">
        <f>90.8+75.5+101</f>
        <v>267.3</v>
      </c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</row>
    <row r="87" spans="1:37" x14ac:dyDescent="0.25">
      <c r="A87" s="3">
        <v>83</v>
      </c>
      <c r="B87" s="19"/>
      <c r="C87" s="19"/>
      <c r="D87" s="20" t="s">
        <v>174</v>
      </c>
      <c r="E87" s="60" t="s">
        <v>526</v>
      </c>
      <c r="F87" s="63">
        <f t="shared" si="1"/>
        <v>0</v>
      </c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6"/>
      <c r="AJ87" s="76"/>
      <c r="AK87" s="76"/>
    </row>
    <row r="88" spans="1:37" x14ac:dyDescent="0.25">
      <c r="A88" s="3">
        <v>84</v>
      </c>
      <c r="B88" s="17"/>
      <c r="C88" s="14"/>
      <c r="D88" s="18" t="s">
        <v>175</v>
      </c>
      <c r="E88" s="60" t="s">
        <v>526</v>
      </c>
      <c r="F88" s="63">
        <f t="shared" si="1"/>
        <v>0</v>
      </c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76"/>
      <c r="AG88" s="76"/>
      <c r="AH88" s="76"/>
      <c r="AI88" s="76"/>
      <c r="AJ88" s="76"/>
      <c r="AK88" s="76"/>
    </row>
    <row r="89" spans="1:37" ht="31.8" x14ac:dyDescent="0.5">
      <c r="A89" s="327" t="s">
        <v>176</v>
      </c>
      <c r="B89" s="328"/>
      <c r="C89" s="328"/>
      <c r="D89" s="328"/>
      <c r="E89" s="328"/>
      <c r="F89" s="328"/>
      <c r="G89" s="328"/>
      <c r="H89" s="328"/>
      <c r="I89" s="328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  <c r="U89" s="328"/>
      <c r="V89" s="328"/>
      <c r="W89" s="328"/>
      <c r="X89" s="328"/>
      <c r="Y89" s="328"/>
      <c r="Z89" s="328"/>
      <c r="AA89" s="328"/>
      <c r="AB89" s="328"/>
      <c r="AC89" s="328"/>
      <c r="AD89" s="328"/>
      <c r="AE89" s="328"/>
      <c r="AF89" s="328"/>
      <c r="AG89" s="328"/>
      <c r="AH89" s="328"/>
      <c r="AI89" s="328"/>
      <c r="AJ89" s="328"/>
      <c r="AK89" s="329"/>
    </row>
    <row r="90" spans="1:37" ht="15.75" customHeight="1" x14ac:dyDescent="0.25">
      <c r="A90" s="3">
        <v>1</v>
      </c>
      <c r="B90" s="306" t="s">
        <v>177</v>
      </c>
      <c r="C90" s="21" t="s">
        <v>178</v>
      </c>
      <c r="D90" s="22" t="s">
        <v>179</v>
      </c>
      <c r="E90" s="45" t="s">
        <v>525</v>
      </c>
      <c r="F90" s="63">
        <f>SUM(G90:AK90)</f>
        <v>6000</v>
      </c>
      <c r="G90" s="76">
        <v>3000</v>
      </c>
      <c r="H90" s="76">
        <v>3000</v>
      </c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76"/>
      <c r="AG90" s="76"/>
      <c r="AH90" s="76"/>
      <c r="AI90" s="76"/>
      <c r="AJ90" s="76"/>
      <c r="AK90" s="76"/>
    </row>
    <row r="91" spans="1:37" x14ac:dyDescent="0.25">
      <c r="A91" s="3">
        <v>2</v>
      </c>
      <c r="B91" s="307"/>
      <c r="C91" s="23" t="s">
        <v>180</v>
      </c>
      <c r="D91" s="6" t="s">
        <v>181</v>
      </c>
      <c r="E91" s="50" t="s">
        <v>525</v>
      </c>
      <c r="F91" s="63">
        <f t="shared" ref="F91:F154" si="2">SUM(G91:AK91)</f>
        <v>0</v>
      </c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</row>
    <row r="92" spans="1:37" x14ac:dyDescent="0.25">
      <c r="A92" s="3">
        <v>3</v>
      </c>
      <c r="B92" s="307"/>
      <c r="C92" s="23" t="s">
        <v>182</v>
      </c>
      <c r="D92" s="7" t="s">
        <v>183</v>
      </c>
      <c r="E92" s="50" t="s">
        <v>525</v>
      </c>
      <c r="F92" s="63">
        <f t="shared" si="2"/>
        <v>0</v>
      </c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  <c r="AF92" s="76"/>
      <c r="AG92" s="76"/>
      <c r="AH92" s="76"/>
      <c r="AI92" s="76"/>
      <c r="AJ92" s="76"/>
      <c r="AK92" s="76"/>
    </row>
    <row r="93" spans="1:37" x14ac:dyDescent="0.25">
      <c r="A93" s="3">
        <v>4</v>
      </c>
      <c r="B93" s="308"/>
      <c r="C93" s="23" t="s">
        <v>184</v>
      </c>
      <c r="D93" s="8" t="s">
        <v>185</v>
      </c>
      <c r="E93" s="50" t="s">
        <v>525</v>
      </c>
      <c r="F93" s="63">
        <f t="shared" si="2"/>
        <v>0</v>
      </c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</row>
    <row r="94" spans="1:37" x14ac:dyDescent="0.25">
      <c r="A94" s="3">
        <v>5</v>
      </c>
      <c r="B94" s="306" t="s">
        <v>186</v>
      </c>
      <c r="C94" s="23" t="s">
        <v>187</v>
      </c>
      <c r="D94" s="22" t="s">
        <v>179</v>
      </c>
      <c r="E94" s="50" t="s">
        <v>525</v>
      </c>
      <c r="F94" s="63">
        <f t="shared" si="2"/>
        <v>7844</v>
      </c>
      <c r="G94" s="76">
        <v>4000</v>
      </c>
      <c r="H94" s="76">
        <v>3844</v>
      </c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</row>
    <row r="95" spans="1:37" x14ac:dyDescent="0.25">
      <c r="A95" s="3">
        <v>6</v>
      </c>
      <c r="B95" s="307"/>
      <c r="C95" s="23" t="s">
        <v>188</v>
      </c>
      <c r="D95" s="6" t="s">
        <v>181</v>
      </c>
      <c r="E95" s="50" t="s">
        <v>525</v>
      </c>
      <c r="F95" s="63">
        <f t="shared" si="2"/>
        <v>0</v>
      </c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</row>
    <row r="96" spans="1:37" x14ac:dyDescent="0.25">
      <c r="A96" s="3">
        <v>7</v>
      </c>
      <c r="B96" s="307"/>
      <c r="C96" s="23" t="s">
        <v>189</v>
      </c>
      <c r="D96" s="7" t="s">
        <v>190</v>
      </c>
      <c r="E96" s="50" t="s">
        <v>525</v>
      </c>
      <c r="F96" s="63">
        <f t="shared" si="2"/>
        <v>0</v>
      </c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</row>
    <row r="97" spans="1:37" x14ac:dyDescent="0.25">
      <c r="A97" s="3">
        <v>8</v>
      </c>
      <c r="B97" s="307"/>
      <c r="C97" s="23" t="s">
        <v>191</v>
      </c>
      <c r="D97" s="7" t="s">
        <v>183</v>
      </c>
      <c r="E97" s="50" t="s">
        <v>525</v>
      </c>
      <c r="F97" s="63">
        <f t="shared" si="2"/>
        <v>0</v>
      </c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</row>
    <row r="98" spans="1:37" x14ac:dyDescent="0.25">
      <c r="A98" s="3">
        <v>9</v>
      </c>
      <c r="B98" s="308"/>
      <c r="C98" s="23" t="s">
        <v>192</v>
      </c>
      <c r="D98" s="8" t="s">
        <v>185</v>
      </c>
      <c r="E98" s="50" t="s">
        <v>525</v>
      </c>
      <c r="F98" s="63">
        <f t="shared" si="2"/>
        <v>0</v>
      </c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</row>
    <row r="99" spans="1:37" x14ac:dyDescent="0.25">
      <c r="A99" s="3">
        <v>10</v>
      </c>
      <c r="B99" s="306" t="s">
        <v>193</v>
      </c>
      <c r="C99" s="23" t="s">
        <v>194</v>
      </c>
      <c r="D99" s="22" t="s">
        <v>179</v>
      </c>
      <c r="E99" s="50" t="s">
        <v>525</v>
      </c>
      <c r="F99" s="63">
        <f t="shared" si="2"/>
        <v>0</v>
      </c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</row>
    <row r="100" spans="1:37" x14ac:dyDescent="0.25">
      <c r="A100" s="3">
        <v>11</v>
      </c>
      <c r="B100" s="308"/>
      <c r="C100" s="23" t="s">
        <v>195</v>
      </c>
      <c r="D100" s="6" t="s">
        <v>181</v>
      </c>
      <c r="E100" s="50" t="s">
        <v>525</v>
      </c>
      <c r="F100" s="63">
        <f t="shared" si="2"/>
        <v>0</v>
      </c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</row>
    <row r="101" spans="1:37" x14ac:dyDescent="0.25">
      <c r="A101" s="3">
        <v>12</v>
      </c>
      <c r="B101" s="335" t="s">
        <v>196</v>
      </c>
      <c r="C101" s="24" t="s">
        <v>197</v>
      </c>
      <c r="D101" s="25" t="s">
        <v>198</v>
      </c>
      <c r="E101" s="50" t="s">
        <v>525</v>
      </c>
      <c r="F101" s="63">
        <f t="shared" si="2"/>
        <v>13500</v>
      </c>
      <c r="G101" s="76">
        <f>3000+4500</f>
        <v>7500</v>
      </c>
      <c r="H101" s="76">
        <f>3000+3000</f>
        <v>6000</v>
      </c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</row>
    <row r="102" spans="1:37" x14ac:dyDescent="0.25">
      <c r="A102" s="3">
        <v>13</v>
      </c>
      <c r="B102" s="336"/>
      <c r="C102" s="24" t="s">
        <v>199</v>
      </c>
      <c r="D102" s="25" t="s">
        <v>200</v>
      </c>
      <c r="E102" s="50" t="s">
        <v>525</v>
      </c>
      <c r="F102" s="63">
        <f t="shared" si="2"/>
        <v>13500</v>
      </c>
      <c r="G102" s="76">
        <f>3000+4500</f>
        <v>7500</v>
      </c>
      <c r="H102" s="76">
        <f>3000+3000</f>
        <v>6000</v>
      </c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</row>
    <row r="103" spans="1:37" x14ac:dyDescent="0.25">
      <c r="A103" s="3">
        <v>14</v>
      </c>
      <c r="B103" s="336"/>
      <c r="C103" s="26" t="s">
        <v>201</v>
      </c>
      <c r="D103" s="27" t="s">
        <v>202</v>
      </c>
      <c r="E103" s="53" t="s">
        <v>525</v>
      </c>
      <c r="F103" s="63">
        <f t="shared" si="2"/>
        <v>0</v>
      </c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</row>
    <row r="104" spans="1:37" x14ac:dyDescent="0.25">
      <c r="A104" s="3">
        <v>15</v>
      </c>
      <c r="B104" s="336"/>
      <c r="C104" s="28" t="s">
        <v>203</v>
      </c>
      <c r="D104" s="29" t="s">
        <v>204</v>
      </c>
      <c r="E104" s="50" t="s">
        <v>525</v>
      </c>
      <c r="F104" s="63">
        <f t="shared" si="2"/>
        <v>0</v>
      </c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</row>
    <row r="105" spans="1:37" x14ac:dyDescent="0.25">
      <c r="A105" s="3">
        <v>16</v>
      </c>
      <c r="B105" s="336"/>
      <c r="C105" s="28" t="s">
        <v>205</v>
      </c>
      <c r="D105" s="27" t="s">
        <v>206</v>
      </c>
      <c r="E105" s="50"/>
      <c r="F105" s="63">
        <f t="shared" si="2"/>
        <v>0</v>
      </c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</row>
    <row r="106" spans="1:37" x14ac:dyDescent="0.25">
      <c r="A106" s="3">
        <v>17</v>
      </c>
      <c r="B106" s="336"/>
      <c r="C106" s="28" t="s">
        <v>207</v>
      </c>
      <c r="D106" s="29" t="s">
        <v>208</v>
      </c>
      <c r="E106" s="50"/>
      <c r="F106" s="63">
        <f t="shared" si="2"/>
        <v>0</v>
      </c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</row>
    <row r="107" spans="1:37" x14ac:dyDescent="0.25">
      <c r="A107" s="3">
        <v>18</v>
      </c>
      <c r="B107" s="336"/>
      <c r="C107" s="30" t="s">
        <v>209</v>
      </c>
      <c r="D107" s="31" t="s">
        <v>210</v>
      </c>
      <c r="E107" s="50" t="s">
        <v>525</v>
      </c>
      <c r="F107" s="63">
        <f t="shared" si="2"/>
        <v>0</v>
      </c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</row>
    <row r="108" spans="1:37" x14ac:dyDescent="0.25">
      <c r="A108" s="3">
        <v>19</v>
      </c>
      <c r="B108" s="336"/>
      <c r="C108" s="30" t="s">
        <v>211</v>
      </c>
      <c r="D108" s="31" t="s">
        <v>212</v>
      </c>
      <c r="E108" s="50" t="s">
        <v>525</v>
      </c>
      <c r="F108" s="63">
        <f t="shared" si="2"/>
        <v>0</v>
      </c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</row>
    <row r="109" spans="1:37" x14ac:dyDescent="0.25">
      <c r="A109" s="3">
        <v>20</v>
      </c>
      <c r="B109" s="336"/>
      <c r="C109" s="32" t="s">
        <v>213</v>
      </c>
      <c r="D109" s="33" t="s">
        <v>214</v>
      </c>
      <c r="E109" s="50" t="s">
        <v>525</v>
      </c>
      <c r="F109" s="63">
        <f t="shared" si="2"/>
        <v>0</v>
      </c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</row>
    <row r="110" spans="1:37" x14ac:dyDescent="0.25">
      <c r="A110" s="3">
        <v>21</v>
      </c>
      <c r="B110" s="337"/>
      <c r="C110" s="32" t="s">
        <v>215</v>
      </c>
      <c r="D110" s="33" t="s">
        <v>216</v>
      </c>
      <c r="E110" s="50" t="s">
        <v>525</v>
      </c>
      <c r="F110" s="63">
        <f t="shared" si="2"/>
        <v>0</v>
      </c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</row>
    <row r="111" spans="1:37" x14ac:dyDescent="0.25">
      <c r="A111" s="3">
        <v>22</v>
      </c>
      <c r="B111" s="335" t="s">
        <v>217</v>
      </c>
      <c r="C111" s="32" t="s">
        <v>218</v>
      </c>
      <c r="D111" s="33" t="s">
        <v>537</v>
      </c>
      <c r="E111" s="50" t="s">
        <v>525</v>
      </c>
      <c r="F111" s="63">
        <f t="shared" si="2"/>
        <v>0</v>
      </c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</row>
    <row r="112" spans="1:37" x14ac:dyDescent="0.25">
      <c r="A112" s="3">
        <v>23</v>
      </c>
      <c r="B112" s="336"/>
      <c r="C112" s="32" t="s">
        <v>220</v>
      </c>
      <c r="D112" s="33" t="s">
        <v>538</v>
      </c>
      <c r="E112" s="50" t="s">
        <v>525</v>
      </c>
      <c r="F112" s="63">
        <f t="shared" si="2"/>
        <v>0</v>
      </c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</row>
    <row r="113" spans="1:37" x14ac:dyDescent="0.25">
      <c r="A113" s="3">
        <v>24</v>
      </c>
      <c r="B113" s="336"/>
      <c r="C113" s="32" t="s">
        <v>222</v>
      </c>
      <c r="D113" s="33" t="s">
        <v>539</v>
      </c>
      <c r="E113" s="50" t="s">
        <v>525</v>
      </c>
      <c r="F113" s="63">
        <f t="shared" si="2"/>
        <v>0</v>
      </c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</row>
    <row r="114" spans="1:37" x14ac:dyDescent="0.25">
      <c r="A114" s="3">
        <v>25</v>
      </c>
      <c r="B114" s="337"/>
      <c r="C114" s="32" t="s">
        <v>224</v>
      </c>
      <c r="D114" s="33" t="s">
        <v>540</v>
      </c>
      <c r="E114" s="50" t="s">
        <v>525</v>
      </c>
      <c r="F114" s="63">
        <f t="shared" si="2"/>
        <v>0</v>
      </c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</row>
    <row r="115" spans="1:37" x14ac:dyDescent="0.25">
      <c r="A115" s="3">
        <v>26</v>
      </c>
      <c r="B115" s="314" t="s">
        <v>226</v>
      </c>
      <c r="C115" s="34">
        <v>447926601</v>
      </c>
      <c r="D115" s="35" t="s">
        <v>227</v>
      </c>
      <c r="E115" s="50" t="s">
        <v>525</v>
      </c>
      <c r="F115" s="63">
        <f t="shared" si="2"/>
        <v>15107</v>
      </c>
      <c r="G115" s="76">
        <f>4000+3000</f>
        <v>7000</v>
      </c>
      <c r="H115" s="76">
        <f>2000+4000+107+2000</f>
        <v>8107</v>
      </c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</row>
    <row r="116" spans="1:37" x14ac:dyDescent="0.25">
      <c r="A116" s="3">
        <v>27</v>
      </c>
      <c r="B116" s="315"/>
      <c r="C116" s="36">
        <v>447926611</v>
      </c>
      <c r="D116" s="35" t="s">
        <v>228</v>
      </c>
      <c r="E116" s="50" t="s">
        <v>525</v>
      </c>
      <c r="F116" s="63">
        <f t="shared" si="2"/>
        <v>0</v>
      </c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</row>
    <row r="117" spans="1:37" x14ac:dyDescent="0.25">
      <c r="A117" s="3">
        <v>28</v>
      </c>
      <c r="B117" s="315"/>
      <c r="C117" s="36">
        <v>447926621</v>
      </c>
      <c r="D117" s="35" t="s">
        <v>229</v>
      </c>
      <c r="E117" s="50" t="s">
        <v>525</v>
      </c>
      <c r="F117" s="63">
        <f t="shared" si="2"/>
        <v>0</v>
      </c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</row>
    <row r="118" spans="1:37" x14ac:dyDescent="0.25">
      <c r="A118" s="3">
        <v>29</v>
      </c>
      <c r="B118" s="315"/>
      <c r="C118" s="37">
        <v>447926631</v>
      </c>
      <c r="D118" s="35" t="s">
        <v>230</v>
      </c>
      <c r="E118" s="50" t="s">
        <v>525</v>
      </c>
      <c r="F118" s="63">
        <f t="shared" si="2"/>
        <v>0</v>
      </c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</row>
    <row r="119" spans="1:37" x14ac:dyDescent="0.25">
      <c r="A119" s="3">
        <v>30</v>
      </c>
      <c r="B119" s="316"/>
      <c r="C119" s="34">
        <v>447926641</v>
      </c>
      <c r="D119" s="35" t="s">
        <v>231</v>
      </c>
      <c r="E119" s="50" t="s">
        <v>525</v>
      </c>
      <c r="F119" s="63">
        <f t="shared" si="2"/>
        <v>0</v>
      </c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</row>
    <row r="120" spans="1:37" x14ac:dyDescent="0.25">
      <c r="A120" s="3">
        <v>31</v>
      </c>
      <c r="B120" s="314" t="s">
        <v>232</v>
      </c>
      <c r="C120" s="34">
        <v>447926501</v>
      </c>
      <c r="D120" s="35" t="s">
        <v>233</v>
      </c>
      <c r="E120" s="50" t="s">
        <v>525</v>
      </c>
      <c r="F120" s="63">
        <f t="shared" si="2"/>
        <v>15000</v>
      </c>
      <c r="G120" s="76">
        <f>4000+3000</f>
        <v>7000</v>
      </c>
      <c r="H120" s="76">
        <f>2000+4000+2000</f>
        <v>8000</v>
      </c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</row>
    <row r="121" spans="1:37" x14ac:dyDescent="0.25">
      <c r="A121" s="3">
        <v>32</v>
      </c>
      <c r="B121" s="315"/>
      <c r="C121" s="34">
        <v>447926511</v>
      </c>
      <c r="D121" s="35" t="s">
        <v>234</v>
      </c>
      <c r="E121" s="50" t="s">
        <v>525</v>
      </c>
      <c r="F121" s="63">
        <f t="shared" si="2"/>
        <v>0</v>
      </c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</row>
    <row r="122" spans="1:37" x14ac:dyDescent="0.25">
      <c r="A122" s="3">
        <v>33</v>
      </c>
      <c r="B122" s="315"/>
      <c r="C122" s="34">
        <v>447926521</v>
      </c>
      <c r="D122" s="35" t="s">
        <v>235</v>
      </c>
      <c r="E122" s="50" t="s">
        <v>525</v>
      </c>
      <c r="F122" s="63">
        <f t="shared" si="2"/>
        <v>0</v>
      </c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</row>
    <row r="123" spans="1:37" x14ac:dyDescent="0.25">
      <c r="A123" s="3">
        <v>34</v>
      </c>
      <c r="B123" s="315"/>
      <c r="C123" s="34">
        <v>447926531</v>
      </c>
      <c r="D123" s="35" t="s">
        <v>236</v>
      </c>
      <c r="E123" s="50" t="s">
        <v>525</v>
      </c>
      <c r="F123" s="63">
        <f t="shared" si="2"/>
        <v>0</v>
      </c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</row>
    <row r="124" spans="1:37" x14ac:dyDescent="0.25">
      <c r="A124" s="3">
        <v>35</v>
      </c>
      <c r="B124" s="316"/>
      <c r="C124" s="34">
        <v>447926541</v>
      </c>
      <c r="D124" s="35" t="s">
        <v>237</v>
      </c>
      <c r="E124" s="50" t="s">
        <v>525</v>
      </c>
      <c r="F124" s="63">
        <f t="shared" si="2"/>
        <v>0</v>
      </c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</row>
    <row r="125" spans="1:37" x14ac:dyDescent="0.25">
      <c r="A125" s="3">
        <v>36</v>
      </c>
      <c r="B125" s="314" t="s">
        <v>238</v>
      </c>
      <c r="C125" s="34"/>
      <c r="D125" s="35" t="s">
        <v>239</v>
      </c>
      <c r="E125" s="50" t="s">
        <v>525</v>
      </c>
      <c r="F125" s="63">
        <f t="shared" si="2"/>
        <v>0</v>
      </c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</row>
    <row r="126" spans="1:37" x14ac:dyDescent="0.25">
      <c r="A126" s="3">
        <v>37</v>
      </c>
      <c r="B126" s="315"/>
      <c r="C126" s="34"/>
      <c r="D126" s="35" t="s">
        <v>240</v>
      </c>
      <c r="E126" s="50" t="s">
        <v>525</v>
      </c>
      <c r="F126" s="63">
        <f t="shared" si="2"/>
        <v>0</v>
      </c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</row>
    <row r="127" spans="1:37" x14ac:dyDescent="0.25">
      <c r="A127" s="3">
        <v>38</v>
      </c>
      <c r="B127" s="315"/>
      <c r="C127" s="34"/>
      <c r="D127" s="35" t="s">
        <v>241</v>
      </c>
      <c r="E127" s="50" t="s">
        <v>525</v>
      </c>
      <c r="F127" s="63">
        <f t="shared" si="2"/>
        <v>0</v>
      </c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</row>
    <row r="128" spans="1:37" x14ac:dyDescent="0.25">
      <c r="A128" s="3">
        <v>39</v>
      </c>
      <c r="B128" s="315"/>
      <c r="C128" s="34"/>
      <c r="D128" s="35" t="s">
        <v>242</v>
      </c>
      <c r="E128" s="50" t="s">
        <v>525</v>
      </c>
      <c r="F128" s="63">
        <f t="shared" si="2"/>
        <v>0</v>
      </c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</row>
    <row r="129" spans="1:37" x14ac:dyDescent="0.25">
      <c r="A129" s="3">
        <v>40</v>
      </c>
      <c r="B129" s="316"/>
      <c r="C129" s="34"/>
      <c r="D129" s="35" t="s">
        <v>243</v>
      </c>
      <c r="E129" s="50" t="s">
        <v>525</v>
      </c>
      <c r="F129" s="63">
        <f t="shared" si="2"/>
        <v>0</v>
      </c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</row>
    <row r="130" spans="1:37" x14ac:dyDescent="0.25">
      <c r="A130" s="3">
        <v>41</v>
      </c>
      <c r="B130" s="314" t="s">
        <v>244</v>
      </c>
      <c r="C130" s="34"/>
      <c r="D130" s="35" t="s">
        <v>245</v>
      </c>
      <c r="E130" s="50" t="s">
        <v>525</v>
      </c>
      <c r="F130" s="63">
        <f t="shared" si="2"/>
        <v>0</v>
      </c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</row>
    <row r="131" spans="1:37" x14ac:dyDescent="0.25">
      <c r="A131" s="3">
        <v>42</v>
      </c>
      <c r="B131" s="315"/>
      <c r="C131" s="34"/>
      <c r="D131" s="35" t="s">
        <v>246</v>
      </c>
      <c r="E131" s="50" t="s">
        <v>525</v>
      </c>
      <c r="F131" s="63">
        <f t="shared" si="2"/>
        <v>0</v>
      </c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</row>
    <row r="132" spans="1:37" x14ac:dyDescent="0.25">
      <c r="A132" s="3">
        <v>43</v>
      </c>
      <c r="B132" s="315"/>
      <c r="C132" s="34"/>
      <c r="D132" s="35" t="s">
        <v>247</v>
      </c>
      <c r="E132" s="50" t="s">
        <v>525</v>
      </c>
      <c r="F132" s="63">
        <f t="shared" si="2"/>
        <v>0</v>
      </c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</row>
    <row r="133" spans="1:37" x14ac:dyDescent="0.25">
      <c r="A133" s="3">
        <v>44</v>
      </c>
      <c r="B133" s="315"/>
      <c r="C133" s="34"/>
      <c r="D133" s="35" t="s">
        <v>248</v>
      </c>
      <c r="E133" s="50" t="s">
        <v>525</v>
      </c>
      <c r="F133" s="63">
        <f t="shared" si="2"/>
        <v>0</v>
      </c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</row>
    <row r="134" spans="1:37" x14ac:dyDescent="0.25">
      <c r="A134" s="3">
        <v>45</v>
      </c>
      <c r="B134" s="316"/>
      <c r="C134" s="34"/>
      <c r="D134" s="35" t="s">
        <v>249</v>
      </c>
      <c r="E134" s="50" t="s">
        <v>525</v>
      </c>
      <c r="F134" s="63">
        <f t="shared" si="2"/>
        <v>0</v>
      </c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</row>
    <row r="135" spans="1:37" x14ac:dyDescent="0.25">
      <c r="A135" s="3">
        <v>46</v>
      </c>
      <c r="B135" s="314" t="s">
        <v>250</v>
      </c>
      <c r="C135" s="38">
        <v>459668931</v>
      </c>
      <c r="D135" s="10" t="s">
        <v>251</v>
      </c>
      <c r="E135" s="50" t="s">
        <v>525</v>
      </c>
      <c r="F135" s="63">
        <f t="shared" si="2"/>
        <v>0</v>
      </c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</row>
    <row r="136" spans="1:37" x14ac:dyDescent="0.25">
      <c r="A136" s="3">
        <v>47</v>
      </c>
      <c r="B136" s="315"/>
      <c r="C136" s="38" t="s">
        <v>252</v>
      </c>
      <c r="D136" s="10" t="s">
        <v>253</v>
      </c>
      <c r="E136" s="50" t="s">
        <v>525</v>
      </c>
      <c r="F136" s="63">
        <f t="shared" si="2"/>
        <v>0</v>
      </c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</row>
    <row r="137" spans="1:37" x14ac:dyDescent="0.25">
      <c r="A137" s="3">
        <v>48</v>
      </c>
      <c r="B137" s="315"/>
      <c r="C137" s="38" t="s">
        <v>254</v>
      </c>
      <c r="D137" s="10" t="s">
        <v>255</v>
      </c>
      <c r="E137" s="50" t="s">
        <v>525</v>
      </c>
      <c r="F137" s="63">
        <f t="shared" si="2"/>
        <v>7000</v>
      </c>
      <c r="G137" s="76">
        <v>3000</v>
      </c>
      <c r="H137" s="76">
        <f>4000</f>
        <v>4000</v>
      </c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</row>
    <row r="138" spans="1:37" x14ac:dyDescent="0.25">
      <c r="A138" s="3">
        <v>49</v>
      </c>
      <c r="B138" s="316"/>
      <c r="C138" s="39">
        <v>459910512</v>
      </c>
      <c r="D138" s="40" t="s">
        <v>256</v>
      </c>
      <c r="E138" s="50" t="s">
        <v>525</v>
      </c>
      <c r="F138" s="63">
        <f t="shared" si="2"/>
        <v>0</v>
      </c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</row>
    <row r="139" spans="1:37" x14ac:dyDescent="0.25">
      <c r="A139" s="3">
        <v>50</v>
      </c>
      <c r="B139" s="314" t="s">
        <v>257</v>
      </c>
      <c r="C139" s="39" t="s">
        <v>258</v>
      </c>
      <c r="D139" s="40" t="s">
        <v>259</v>
      </c>
      <c r="E139" s="50" t="s">
        <v>525</v>
      </c>
      <c r="F139" s="63">
        <f t="shared" si="2"/>
        <v>8000</v>
      </c>
      <c r="G139" s="76">
        <v>4000</v>
      </c>
      <c r="H139" s="76">
        <v>4000</v>
      </c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</row>
    <row r="140" spans="1:37" x14ac:dyDescent="0.25">
      <c r="A140" s="3">
        <v>51</v>
      </c>
      <c r="B140" s="316"/>
      <c r="C140" s="39" t="s">
        <v>260</v>
      </c>
      <c r="D140" s="40" t="s">
        <v>259</v>
      </c>
      <c r="E140" s="50" t="s">
        <v>525</v>
      </c>
      <c r="F140" s="63">
        <f t="shared" si="2"/>
        <v>7000</v>
      </c>
      <c r="G140" s="76">
        <v>3000</v>
      </c>
      <c r="H140" s="76">
        <v>4000</v>
      </c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</row>
    <row r="141" spans="1:37" x14ac:dyDescent="0.25">
      <c r="A141" s="3">
        <v>52</v>
      </c>
      <c r="B141" s="314" t="s">
        <v>261</v>
      </c>
      <c r="C141" s="39" t="s">
        <v>262</v>
      </c>
      <c r="D141" s="40" t="s">
        <v>263</v>
      </c>
      <c r="E141" s="50" t="s">
        <v>525</v>
      </c>
      <c r="F141" s="63">
        <f t="shared" si="2"/>
        <v>0</v>
      </c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</row>
    <row r="142" spans="1:37" x14ac:dyDescent="0.25">
      <c r="A142" s="3">
        <v>53</v>
      </c>
      <c r="B142" s="315"/>
      <c r="C142" s="39" t="s">
        <v>264</v>
      </c>
      <c r="D142" s="40" t="s">
        <v>265</v>
      </c>
      <c r="E142" s="50" t="s">
        <v>525</v>
      </c>
      <c r="F142" s="63">
        <f t="shared" si="2"/>
        <v>0</v>
      </c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</row>
    <row r="143" spans="1:37" x14ac:dyDescent="0.25">
      <c r="A143" s="3">
        <v>54</v>
      </c>
      <c r="B143" s="315"/>
      <c r="C143" s="39" t="s">
        <v>266</v>
      </c>
      <c r="D143" s="40" t="s">
        <v>267</v>
      </c>
      <c r="E143" s="50" t="s">
        <v>525</v>
      </c>
      <c r="F143" s="63">
        <f t="shared" si="2"/>
        <v>0</v>
      </c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</row>
    <row r="144" spans="1:37" x14ac:dyDescent="0.25">
      <c r="A144" s="3">
        <v>55</v>
      </c>
      <c r="B144" s="315"/>
      <c r="C144" s="39" t="s">
        <v>268</v>
      </c>
      <c r="D144" s="40" t="s">
        <v>269</v>
      </c>
      <c r="E144" s="50" t="s">
        <v>525</v>
      </c>
      <c r="F144" s="63">
        <f t="shared" si="2"/>
        <v>0</v>
      </c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</row>
    <row r="145" spans="1:37" x14ac:dyDescent="0.25">
      <c r="A145" s="3">
        <v>56</v>
      </c>
      <c r="B145" s="315"/>
      <c r="C145" s="39" t="s">
        <v>270</v>
      </c>
      <c r="D145" s="40" t="s">
        <v>271</v>
      </c>
      <c r="E145" s="50" t="s">
        <v>525</v>
      </c>
      <c r="F145" s="63">
        <f t="shared" si="2"/>
        <v>0</v>
      </c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</row>
    <row r="146" spans="1:37" x14ac:dyDescent="0.25">
      <c r="A146" s="3">
        <v>57</v>
      </c>
      <c r="B146" s="316"/>
      <c r="C146" s="39" t="s">
        <v>272</v>
      </c>
      <c r="D146" s="40" t="s">
        <v>273</v>
      </c>
      <c r="E146" s="50" t="s">
        <v>525</v>
      </c>
      <c r="F146" s="63">
        <f t="shared" si="2"/>
        <v>0</v>
      </c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</row>
    <row r="147" spans="1:37" x14ac:dyDescent="0.25">
      <c r="A147" s="3">
        <v>58</v>
      </c>
      <c r="B147" s="314" t="s">
        <v>274</v>
      </c>
      <c r="C147" s="37" t="s">
        <v>275</v>
      </c>
      <c r="D147" s="10" t="s">
        <v>276</v>
      </c>
      <c r="E147" s="50" t="s">
        <v>525</v>
      </c>
      <c r="F147" s="63">
        <f t="shared" si="2"/>
        <v>0</v>
      </c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</row>
    <row r="148" spans="1:37" x14ac:dyDescent="0.25">
      <c r="A148" s="3">
        <v>59</v>
      </c>
      <c r="B148" s="315"/>
      <c r="C148" s="37" t="s">
        <v>277</v>
      </c>
      <c r="D148" s="10" t="s">
        <v>278</v>
      </c>
      <c r="E148" s="50" t="s">
        <v>525</v>
      </c>
      <c r="F148" s="63">
        <f t="shared" si="2"/>
        <v>14000</v>
      </c>
      <c r="G148" s="76">
        <v>6000</v>
      </c>
      <c r="H148" s="76">
        <v>8000</v>
      </c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</row>
    <row r="149" spans="1:37" x14ac:dyDescent="0.25">
      <c r="A149" s="3">
        <v>60</v>
      </c>
      <c r="B149" s="315"/>
      <c r="C149" s="37" t="s">
        <v>279</v>
      </c>
      <c r="D149" s="10" t="s">
        <v>280</v>
      </c>
      <c r="E149" s="50" t="s">
        <v>525</v>
      </c>
      <c r="F149" s="63">
        <f t="shared" si="2"/>
        <v>3200</v>
      </c>
      <c r="G149" s="76">
        <v>3200</v>
      </c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</row>
    <row r="150" spans="1:37" x14ac:dyDescent="0.25">
      <c r="A150" s="3">
        <v>61</v>
      </c>
      <c r="B150" s="316"/>
      <c r="C150" s="37" t="s">
        <v>281</v>
      </c>
      <c r="D150" s="10" t="s">
        <v>282</v>
      </c>
      <c r="E150" s="50" t="s">
        <v>525</v>
      </c>
      <c r="F150" s="63">
        <f t="shared" si="2"/>
        <v>0</v>
      </c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</row>
    <row r="151" spans="1:37" x14ac:dyDescent="0.25">
      <c r="A151" s="3">
        <v>62</v>
      </c>
      <c r="B151" s="314" t="s">
        <v>283</v>
      </c>
      <c r="C151" s="39" t="s">
        <v>284</v>
      </c>
      <c r="D151" s="40" t="s">
        <v>285</v>
      </c>
      <c r="E151" s="50" t="s">
        <v>525</v>
      </c>
      <c r="F151" s="63">
        <f t="shared" si="2"/>
        <v>0</v>
      </c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</row>
    <row r="152" spans="1:37" x14ac:dyDescent="0.25">
      <c r="A152" s="3">
        <v>63</v>
      </c>
      <c r="B152" s="315"/>
      <c r="C152" s="39" t="s">
        <v>286</v>
      </c>
      <c r="D152" s="40" t="s">
        <v>287</v>
      </c>
      <c r="E152" s="50" t="s">
        <v>525</v>
      </c>
      <c r="F152" s="63">
        <f t="shared" si="2"/>
        <v>0</v>
      </c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</row>
    <row r="153" spans="1:37" x14ac:dyDescent="0.25">
      <c r="A153" s="3">
        <v>64</v>
      </c>
      <c r="B153" s="315"/>
      <c r="C153" s="39" t="s">
        <v>288</v>
      </c>
      <c r="D153" s="40" t="s">
        <v>289</v>
      </c>
      <c r="E153" s="50" t="s">
        <v>525</v>
      </c>
      <c r="F153" s="63">
        <f t="shared" si="2"/>
        <v>0</v>
      </c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</row>
    <row r="154" spans="1:37" x14ac:dyDescent="0.25">
      <c r="A154" s="3">
        <v>65</v>
      </c>
      <c r="B154" s="315"/>
      <c r="C154" s="39" t="s">
        <v>290</v>
      </c>
      <c r="D154" s="40" t="s">
        <v>291</v>
      </c>
      <c r="E154" s="50" t="s">
        <v>525</v>
      </c>
      <c r="F154" s="63">
        <f t="shared" si="2"/>
        <v>0</v>
      </c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</row>
    <row r="155" spans="1:37" x14ac:dyDescent="0.25">
      <c r="A155" s="3">
        <v>66</v>
      </c>
      <c r="B155" s="315"/>
      <c r="C155" s="39" t="s">
        <v>292</v>
      </c>
      <c r="D155" s="40" t="s">
        <v>293</v>
      </c>
      <c r="E155" s="50" t="s">
        <v>525</v>
      </c>
      <c r="F155" s="63">
        <f t="shared" ref="F155:F218" si="3">SUM(G155:AK155)</f>
        <v>8000</v>
      </c>
      <c r="G155" s="76">
        <v>4000</v>
      </c>
      <c r="H155" s="76">
        <v>4000</v>
      </c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</row>
    <row r="156" spans="1:37" x14ac:dyDescent="0.25">
      <c r="A156" s="3">
        <v>67</v>
      </c>
      <c r="B156" s="315"/>
      <c r="C156" s="39" t="s">
        <v>294</v>
      </c>
      <c r="D156" s="40" t="s">
        <v>295</v>
      </c>
      <c r="E156" s="50" t="s">
        <v>525</v>
      </c>
      <c r="F156" s="63">
        <f t="shared" si="3"/>
        <v>16000</v>
      </c>
      <c r="G156" s="76">
        <v>8000</v>
      </c>
      <c r="H156" s="76">
        <v>8000</v>
      </c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</row>
    <row r="157" spans="1:37" x14ac:dyDescent="0.25">
      <c r="A157" s="3">
        <v>68</v>
      </c>
      <c r="B157" s="315"/>
      <c r="C157" s="39" t="s">
        <v>296</v>
      </c>
      <c r="D157" s="40" t="s">
        <v>297</v>
      </c>
      <c r="E157" s="50" t="s">
        <v>525</v>
      </c>
      <c r="F157" s="63">
        <f t="shared" si="3"/>
        <v>8000</v>
      </c>
      <c r="G157" s="76">
        <v>4000</v>
      </c>
      <c r="H157" s="76">
        <v>4000</v>
      </c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</row>
    <row r="158" spans="1:37" x14ac:dyDescent="0.25">
      <c r="A158" s="3">
        <v>69</v>
      </c>
      <c r="B158" s="316"/>
      <c r="C158" s="39" t="s">
        <v>298</v>
      </c>
      <c r="D158" s="40" t="s">
        <v>299</v>
      </c>
      <c r="E158" s="50" t="s">
        <v>525</v>
      </c>
      <c r="F158" s="63">
        <f t="shared" si="3"/>
        <v>8300</v>
      </c>
      <c r="G158" s="76">
        <f>1000+3300</f>
        <v>4300</v>
      </c>
      <c r="H158" s="76">
        <v>4000</v>
      </c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</row>
    <row r="159" spans="1:37" x14ac:dyDescent="0.25">
      <c r="A159" s="3">
        <v>70</v>
      </c>
      <c r="B159" s="314" t="s">
        <v>300</v>
      </c>
      <c r="C159" s="37" t="s">
        <v>301</v>
      </c>
      <c r="D159" s="10" t="s">
        <v>302</v>
      </c>
      <c r="E159" s="50" t="s">
        <v>525</v>
      </c>
      <c r="F159" s="63">
        <f t="shared" si="3"/>
        <v>0</v>
      </c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</row>
    <row r="160" spans="1:37" x14ac:dyDescent="0.25">
      <c r="A160" s="3">
        <v>71</v>
      </c>
      <c r="B160" s="316"/>
      <c r="C160" s="37" t="s">
        <v>303</v>
      </c>
      <c r="D160" s="10" t="s">
        <v>304</v>
      </c>
      <c r="E160" s="50" t="s">
        <v>525</v>
      </c>
      <c r="F160" s="63">
        <f t="shared" si="3"/>
        <v>0</v>
      </c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</row>
    <row r="161" spans="1:37" x14ac:dyDescent="0.25">
      <c r="A161" s="3">
        <v>72</v>
      </c>
      <c r="B161" s="41" t="s">
        <v>305</v>
      </c>
      <c r="C161" s="37">
        <v>370425461</v>
      </c>
      <c r="D161" s="10" t="s">
        <v>306</v>
      </c>
      <c r="E161" s="50" t="s">
        <v>525</v>
      </c>
      <c r="F161" s="63">
        <f t="shared" si="3"/>
        <v>0</v>
      </c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</row>
    <row r="162" spans="1:37" x14ac:dyDescent="0.25">
      <c r="A162" s="3">
        <v>73</v>
      </c>
      <c r="B162" s="42" t="s">
        <v>307</v>
      </c>
      <c r="C162" s="37" t="s">
        <v>308</v>
      </c>
      <c r="D162" s="10" t="s">
        <v>309</v>
      </c>
      <c r="E162" s="50" t="s">
        <v>525</v>
      </c>
      <c r="F162" s="63">
        <f t="shared" si="3"/>
        <v>0</v>
      </c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</row>
    <row r="163" spans="1:37" x14ac:dyDescent="0.25">
      <c r="A163" s="3"/>
      <c r="B163" s="43" t="s">
        <v>310</v>
      </c>
      <c r="C163" s="37" t="s">
        <v>311</v>
      </c>
      <c r="D163" s="10" t="s">
        <v>312</v>
      </c>
      <c r="E163" s="50" t="s">
        <v>525</v>
      </c>
      <c r="F163" s="63">
        <f t="shared" si="3"/>
        <v>0</v>
      </c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</row>
    <row r="164" spans="1:37" x14ac:dyDescent="0.25">
      <c r="A164" s="3">
        <v>74</v>
      </c>
      <c r="B164" s="338" t="s">
        <v>313</v>
      </c>
      <c r="C164" s="37" t="s">
        <v>314</v>
      </c>
      <c r="D164" s="10" t="s">
        <v>315</v>
      </c>
      <c r="E164" s="50" t="s">
        <v>525</v>
      </c>
      <c r="F164" s="63">
        <f t="shared" si="3"/>
        <v>0</v>
      </c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</row>
    <row r="165" spans="1:37" x14ac:dyDescent="0.25">
      <c r="A165" s="3">
        <v>75</v>
      </c>
      <c r="B165" s="339"/>
      <c r="C165" s="37" t="s">
        <v>316</v>
      </c>
      <c r="D165" s="10" t="s">
        <v>317</v>
      </c>
      <c r="E165" s="50" t="s">
        <v>525</v>
      </c>
      <c r="F165" s="63">
        <f t="shared" si="3"/>
        <v>0</v>
      </c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</row>
    <row r="166" spans="1:37" x14ac:dyDescent="0.25">
      <c r="A166" s="3">
        <v>76</v>
      </c>
      <c r="B166" s="340"/>
      <c r="C166" s="37" t="s">
        <v>318</v>
      </c>
      <c r="D166" s="10" t="s">
        <v>319</v>
      </c>
      <c r="E166" s="50" t="s">
        <v>525</v>
      </c>
      <c r="F166" s="63">
        <f t="shared" si="3"/>
        <v>0</v>
      </c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</row>
    <row r="167" spans="1:37" x14ac:dyDescent="0.25">
      <c r="A167" s="3">
        <v>77</v>
      </c>
      <c r="B167" s="41"/>
      <c r="C167" s="44" t="s">
        <v>320</v>
      </c>
      <c r="D167" s="10" t="s">
        <v>321</v>
      </c>
      <c r="E167" s="50" t="s">
        <v>526</v>
      </c>
      <c r="F167" s="63">
        <f t="shared" si="3"/>
        <v>0</v>
      </c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</row>
    <row r="168" spans="1:37" x14ac:dyDescent="0.25">
      <c r="A168" s="3">
        <v>78</v>
      </c>
      <c r="B168" s="314" t="s">
        <v>322</v>
      </c>
      <c r="C168" s="37" t="s">
        <v>323</v>
      </c>
      <c r="D168" s="10" t="s">
        <v>324</v>
      </c>
      <c r="E168" s="50" t="s">
        <v>525</v>
      </c>
      <c r="F168" s="63">
        <f t="shared" si="3"/>
        <v>0</v>
      </c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</row>
    <row r="169" spans="1:37" x14ac:dyDescent="0.25">
      <c r="A169" s="3">
        <v>79</v>
      </c>
      <c r="B169" s="315"/>
      <c r="C169" s="37" t="s">
        <v>325</v>
      </c>
      <c r="D169" s="10" t="s">
        <v>326</v>
      </c>
      <c r="E169" s="50" t="s">
        <v>525</v>
      </c>
      <c r="F169" s="63">
        <f t="shared" si="3"/>
        <v>0</v>
      </c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</row>
    <row r="170" spans="1:37" x14ac:dyDescent="0.25">
      <c r="A170" s="3">
        <v>80</v>
      </c>
      <c r="B170" s="315"/>
      <c r="C170" s="37" t="s">
        <v>327</v>
      </c>
      <c r="D170" s="10" t="s">
        <v>328</v>
      </c>
      <c r="E170" s="50" t="s">
        <v>525</v>
      </c>
      <c r="F170" s="63">
        <f t="shared" si="3"/>
        <v>0</v>
      </c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</row>
    <row r="171" spans="1:37" x14ac:dyDescent="0.25">
      <c r="A171" s="3">
        <v>81</v>
      </c>
      <c r="B171" s="315"/>
      <c r="C171" s="37" t="s">
        <v>329</v>
      </c>
      <c r="D171" s="10" t="s">
        <v>330</v>
      </c>
      <c r="E171" s="50" t="s">
        <v>525</v>
      </c>
      <c r="F171" s="63">
        <f t="shared" si="3"/>
        <v>0</v>
      </c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</row>
    <row r="172" spans="1:37" x14ac:dyDescent="0.25">
      <c r="A172" s="3">
        <v>82</v>
      </c>
      <c r="B172" s="315"/>
      <c r="C172" s="37" t="s">
        <v>331</v>
      </c>
      <c r="D172" s="10" t="s">
        <v>332</v>
      </c>
      <c r="E172" s="50" t="s">
        <v>525</v>
      </c>
      <c r="F172" s="63">
        <f t="shared" si="3"/>
        <v>0</v>
      </c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</row>
    <row r="173" spans="1:37" x14ac:dyDescent="0.25">
      <c r="A173" s="3">
        <v>83</v>
      </c>
      <c r="B173" s="315"/>
      <c r="C173" s="37" t="s">
        <v>333</v>
      </c>
      <c r="D173" s="10" t="s">
        <v>334</v>
      </c>
      <c r="E173" s="50" t="s">
        <v>525</v>
      </c>
      <c r="F173" s="63">
        <f t="shared" si="3"/>
        <v>0</v>
      </c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</row>
    <row r="174" spans="1:37" x14ac:dyDescent="0.25">
      <c r="A174" s="3">
        <v>84</v>
      </c>
      <c r="B174" s="315"/>
      <c r="C174" s="37" t="s">
        <v>335</v>
      </c>
      <c r="D174" s="10" t="s">
        <v>336</v>
      </c>
      <c r="E174" s="50" t="s">
        <v>525</v>
      </c>
      <c r="F174" s="63">
        <f t="shared" si="3"/>
        <v>0</v>
      </c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</row>
    <row r="175" spans="1:37" x14ac:dyDescent="0.25">
      <c r="A175" s="3">
        <v>85</v>
      </c>
      <c r="B175" s="315"/>
      <c r="C175" s="37" t="s">
        <v>337</v>
      </c>
      <c r="D175" s="10" t="s">
        <v>338</v>
      </c>
      <c r="E175" s="50" t="s">
        <v>525</v>
      </c>
      <c r="F175" s="63">
        <f t="shared" si="3"/>
        <v>320</v>
      </c>
      <c r="G175" s="76">
        <v>140</v>
      </c>
      <c r="H175" s="76">
        <v>180</v>
      </c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</row>
    <row r="176" spans="1:37" x14ac:dyDescent="0.25">
      <c r="A176" s="3">
        <v>86</v>
      </c>
      <c r="B176" s="316"/>
      <c r="C176" s="37" t="s">
        <v>339</v>
      </c>
      <c r="D176" s="10" t="s">
        <v>340</v>
      </c>
      <c r="E176" s="50" t="s">
        <v>525</v>
      </c>
      <c r="F176" s="63">
        <f t="shared" si="3"/>
        <v>0</v>
      </c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</row>
    <row r="177" spans="1:37" x14ac:dyDescent="0.25">
      <c r="A177" s="3">
        <v>87</v>
      </c>
      <c r="B177" s="314" t="s">
        <v>341</v>
      </c>
      <c r="C177" s="37" t="s">
        <v>342</v>
      </c>
      <c r="D177" s="10" t="s">
        <v>343</v>
      </c>
      <c r="E177" s="50" t="s">
        <v>525</v>
      </c>
      <c r="F177" s="63">
        <f t="shared" si="3"/>
        <v>320</v>
      </c>
      <c r="G177" s="76">
        <v>160</v>
      </c>
      <c r="H177" s="76">
        <v>160</v>
      </c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</row>
    <row r="178" spans="1:37" x14ac:dyDescent="0.25">
      <c r="A178" s="3">
        <v>88</v>
      </c>
      <c r="B178" s="315"/>
      <c r="C178" s="37" t="s">
        <v>344</v>
      </c>
      <c r="D178" s="10" t="s">
        <v>345</v>
      </c>
      <c r="E178" s="50" t="s">
        <v>525</v>
      </c>
      <c r="F178" s="63">
        <f t="shared" si="3"/>
        <v>0</v>
      </c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</row>
    <row r="179" spans="1:37" x14ac:dyDescent="0.25">
      <c r="A179" s="3">
        <v>89</v>
      </c>
      <c r="B179" s="315"/>
      <c r="C179" s="37" t="s">
        <v>346</v>
      </c>
      <c r="D179" s="10" t="s">
        <v>347</v>
      </c>
      <c r="E179" s="50" t="s">
        <v>525</v>
      </c>
      <c r="F179" s="63">
        <f t="shared" si="3"/>
        <v>0</v>
      </c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</row>
    <row r="180" spans="1:37" x14ac:dyDescent="0.25">
      <c r="A180" s="3">
        <v>90</v>
      </c>
      <c r="B180" s="315"/>
      <c r="C180" s="37" t="s">
        <v>348</v>
      </c>
      <c r="D180" s="10" t="s">
        <v>349</v>
      </c>
      <c r="E180" s="50" t="s">
        <v>525</v>
      </c>
      <c r="F180" s="63">
        <f t="shared" si="3"/>
        <v>0</v>
      </c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</row>
    <row r="181" spans="1:37" x14ac:dyDescent="0.25">
      <c r="A181" s="3">
        <v>91</v>
      </c>
      <c r="B181" s="316"/>
      <c r="C181" s="37" t="s">
        <v>350</v>
      </c>
      <c r="D181" s="10" t="s">
        <v>351</v>
      </c>
      <c r="E181" s="50" t="s">
        <v>525</v>
      </c>
      <c r="F181" s="63">
        <f t="shared" si="3"/>
        <v>0</v>
      </c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</row>
    <row r="182" spans="1:37" x14ac:dyDescent="0.25">
      <c r="A182" s="3">
        <v>92</v>
      </c>
      <c r="B182" s="314" t="s">
        <v>352</v>
      </c>
      <c r="C182" s="37" t="s">
        <v>353</v>
      </c>
      <c r="D182" s="10" t="s">
        <v>354</v>
      </c>
      <c r="E182" s="50" t="s">
        <v>525</v>
      </c>
      <c r="F182" s="63">
        <f t="shared" si="3"/>
        <v>0</v>
      </c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</row>
    <row r="183" spans="1:37" x14ac:dyDescent="0.25">
      <c r="A183" s="3">
        <v>93</v>
      </c>
      <c r="B183" s="315"/>
      <c r="C183" s="37" t="s">
        <v>355</v>
      </c>
      <c r="D183" s="10" t="s">
        <v>356</v>
      </c>
      <c r="E183" s="50" t="s">
        <v>525</v>
      </c>
      <c r="F183" s="63">
        <f t="shared" si="3"/>
        <v>0</v>
      </c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</row>
    <row r="184" spans="1:37" x14ac:dyDescent="0.25">
      <c r="A184" s="3">
        <v>94</v>
      </c>
      <c r="B184" s="315"/>
      <c r="C184" s="37" t="s">
        <v>357</v>
      </c>
      <c r="D184" s="10" t="s">
        <v>358</v>
      </c>
      <c r="E184" s="50" t="s">
        <v>525</v>
      </c>
      <c r="F184" s="63">
        <f t="shared" si="3"/>
        <v>0</v>
      </c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</row>
    <row r="185" spans="1:37" x14ac:dyDescent="0.25">
      <c r="A185" s="3">
        <v>95</v>
      </c>
      <c r="B185" s="315"/>
      <c r="C185" s="37" t="s">
        <v>359</v>
      </c>
      <c r="D185" s="10" t="s">
        <v>360</v>
      </c>
      <c r="E185" s="50" t="s">
        <v>525</v>
      </c>
      <c r="F185" s="63">
        <f t="shared" si="3"/>
        <v>0</v>
      </c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</row>
    <row r="186" spans="1:37" x14ac:dyDescent="0.25">
      <c r="A186" s="3">
        <v>96</v>
      </c>
      <c r="B186" s="315"/>
      <c r="C186" s="37" t="s">
        <v>361</v>
      </c>
      <c r="D186" s="10" t="s">
        <v>362</v>
      </c>
      <c r="E186" s="50" t="s">
        <v>525</v>
      </c>
      <c r="F186" s="63">
        <f t="shared" si="3"/>
        <v>0</v>
      </c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</row>
    <row r="187" spans="1:37" x14ac:dyDescent="0.25">
      <c r="A187" s="3">
        <v>97</v>
      </c>
      <c r="B187" s="315"/>
      <c r="C187" s="37" t="s">
        <v>363</v>
      </c>
      <c r="D187" s="10" t="s">
        <v>364</v>
      </c>
      <c r="E187" s="50" t="s">
        <v>525</v>
      </c>
      <c r="F187" s="63">
        <f t="shared" si="3"/>
        <v>0</v>
      </c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</row>
    <row r="188" spans="1:37" x14ac:dyDescent="0.25">
      <c r="A188" s="3">
        <v>98</v>
      </c>
      <c r="B188" s="315"/>
      <c r="C188" s="37" t="s">
        <v>365</v>
      </c>
      <c r="D188" s="10" t="s">
        <v>366</v>
      </c>
      <c r="E188" s="50" t="s">
        <v>525</v>
      </c>
      <c r="F188" s="63">
        <f t="shared" si="3"/>
        <v>0</v>
      </c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</row>
    <row r="189" spans="1:37" x14ac:dyDescent="0.25">
      <c r="A189" s="3">
        <v>99</v>
      </c>
      <c r="B189" s="315"/>
      <c r="C189" s="37" t="s">
        <v>367</v>
      </c>
      <c r="D189" s="10" t="s">
        <v>368</v>
      </c>
      <c r="E189" s="50" t="s">
        <v>525</v>
      </c>
      <c r="F189" s="63">
        <f t="shared" si="3"/>
        <v>0</v>
      </c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</row>
    <row r="190" spans="1:37" x14ac:dyDescent="0.25">
      <c r="A190" s="3">
        <v>100</v>
      </c>
      <c r="B190" s="315"/>
      <c r="C190" s="37" t="s">
        <v>369</v>
      </c>
      <c r="D190" s="10" t="s">
        <v>370</v>
      </c>
      <c r="E190" s="50" t="s">
        <v>525</v>
      </c>
      <c r="F190" s="63">
        <f t="shared" si="3"/>
        <v>0</v>
      </c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</row>
    <row r="191" spans="1:37" x14ac:dyDescent="0.25">
      <c r="A191" s="3">
        <v>101</v>
      </c>
      <c r="B191" s="315"/>
      <c r="C191" s="37" t="s">
        <v>371</v>
      </c>
      <c r="D191" s="10" t="s">
        <v>372</v>
      </c>
      <c r="E191" s="50" t="s">
        <v>525</v>
      </c>
      <c r="F191" s="63">
        <f t="shared" si="3"/>
        <v>0</v>
      </c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</row>
    <row r="192" spans="1:37" x14ac:dyDescent="0.25">
      <c r="A192" s="3">
        <v>102</v>
      </c>
      <c r="B192" s="315"/>
      <c r="C192" s="37" t="s">
        <v>373</v>
      </c>
      <c r="D192" s="10" t="s">
        <v>374</v>
      </c>
      <c r="E192" s="50" t="s">
        <v>525</v>
      </c>
      <c r="F192" s="63">
        <f t="shared" si="3"/>
        <v>0</v>
      </c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</row>
    <row r="193" spans="1:37" x14ac:dyDescent="0.25">
      <c r="A193" s="3">
        <v>103</v>
      </c>
      <c r="B193" s="315"/>
      <c r="C193" s="37" t="s">
        <v>375</v>
      </c>
      <c r="D193" s="10" t="s">
        <v>376</v>
      </c>
      <c r="E193" s="50" t="s">
        <v>525</v>
      </c>
      <c r="F193" s="63">
        <f t="shared" si="3"/>
        <v>0</v>
      </c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</row>
    <row r="194" spans="1:37" x14ac:dyDescent="0.25">
      <c r="A194" s="3">
        <v>104</v>
      </c>
      <c r="B194" s="315"/>
      <c r="C194" s="37" t="s">
        <v>377</v>
      </c>
      <c r="D194" s="10" t="s">
        <v>378</v>
      </c>
      <c r="E194" s="50" t="s">
        <v>525</v>
      </c>
      <c r="F194" s="63">
        <f t="shared" si="3"/>
        <v>0</v>
      </c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</row>
    <row r="195" spans="1:37" x14ac:dyDescent="0.25">
      <c r="A195" s="3">
        <v>105</v>
      </c>
      <c r="B195" s="316"/>
      <c r="C195" s="37" t="s">
        <v>379</v>
      </c>
      <c r="D195" s="10" t="s">
        <v>380</v>
      </c>
      <c r="E195" s="50" t="s">
        <v>525</v>
      </c>
      <c r="F195" s="63">
        <f t="shared" si="3"/>
        <v>0</v>
      </c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</row>
    <row r="196" spans="1:37" x14ac:dyDescent="0.25">
      <c r="A196" s="3">
        <v>106</v>
      </c>
      <c r="B196" s="314" t="s">
        <v>381</v>
      </c>
      <c r="C196" s="37" t="s">
        <v>382</v>
      </c>
      <c r="D196" s="10" t="s">
        <v>383</v>
      </c>
      <c r="E196" s="50" t="s">
        <v>525</v>
      </c>
      <c r="F196" s="63">
        <f t="shared" si="3"/>
        <v>0</v>
      </c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</row>
    <row r="197" spans="1:37" x14ac:dyDescent="0.25">
      <c r="A197" s="3">
        <v>107</v>
      </c>
      <c r="B197" s="315"/>
      <c r="C197" s="37" t="s">
        <v>384</v>
      </c>
      <c r="D197" s="10" t="s">
        <v>385</v>
      </c>
      <c r="E197" s="50" t="s">
        <v>525</v>
      </c>
      <c r="F197" s="63">
        <f t="shared" si="3"/>
        <v>0</v>
      </c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</row>
    <row r="198" spans="1:37" x14ac:dyDescent="0.25">
      <c r="A198" s="3">
        <v>108</v>
      </c>
      <c r="B198" s="315"/>
      <c r="C198" s="37" t="s">
        <v>386</v>
      </c>
      <c r="D198" s="10" t="s">
        <v>387</v>
      </c>
      <c r="E198" s="50" t="s">
        <v>525</v>
      </c>
      <c r="F198" s="63">
        <f t="shared" si="3"/>
        <v>0</v>
      </c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</row>
    <row r="199" spans="1:37" x14ac:dyDescent="0.25">
      <c r="A199" s="3">
        <v>109</v>
      </c>
      <c r="B199" s="315"/>
      <c r="C199" s="37" t="s">
        <v>388</v>
      </c>
      <c r="D199" s="10" t="s">
        <v>389</v>
      </c>
      <c r="E199" s="50" t="s">
        <v>525</v>
      </c>
      <c r="F199" s="63">
        <f t="shared" si="3"/>
        <v>0</v>
      </c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</row>
    <row r="200" spans="1:37" x14ac:dyDescent="0.25">
      <c r="A200" s="3">
        <v>110</v>
      </c>
      <c r="B200" s="315"/>
      <c r="C200" s="37" t="s">
        <v>390</v>
      </c>
      <c r="D200" s="10" t="s">
        <v>391</v>
      </c>
      <c r="E200" s="50" t="s">
        <v>525</v>
      </c>
      <c r="F200" s="63">
        <f t="shared" si="3"/>
        <v>0</v>
      </c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</row>
    <row r="201" spans="1:37" x14ac:dyDescent="0.25">
      <c r="A201" s="3">
        <v>111</v>
      </c>
      <c r="B201" s="315"/>
      <c r="C201" s="37" t="s">
        <v>392</v>
      </c>
      <c r="D201" s="10" t="s">
        <v>393</v>
      </c>
      <c r="E201" s="50" t="s">
        <v>525</v>
      </c>
      <c r="F201" s="63">
        <f t="shared" si="3"/>
        <v>0</v>
      </c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</row>
    <row r="202" spans="1:37" x14ac:dyDescent="0.25">
      <c r="A202" s="3">
        <v>112</v>
      </c>
      <c r="B202" s="315"/>
      <c r="C202" s="37" t="s">
        <v>394</v>
      </c>
      <c r="D202" s="10" t="s">
        <v>395</v>
      </c>
      <c r="E202" s="50" t="s">
        <v>525</v>
      </c>
      <c r="F202" s="63">
        <f t="shared" si="3"/>
        <v>0</v>
      </c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</row>
    <row r="203" spans="1:37" x14ac:dyDescent="0.25">
      <c r="A203" s="3">
        <v>113</v>
      </c>
      <c r="B203" s="315"/>
      <c r="C203" s="37" t="s">
        <v>396</v>
      </c>
      <c r="D203" s="10" t="s">
        <v>397</v>
      </c>
      <c r="E203" s="50" t="s">
        <v>525</v>
      </c>
      <c r="F203" s="63">
        <f t="shared" si="3"/>
        <v>1280</v>
      </c>
      <c r="G203" s="76">
        <v>600</v>
      </c>
      <c r="H203" s="76">
        <v>680</v>
      </c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</row>
    <row r="204" spans="1:37" x14ac:dyDescent="0.25">
      <c r="A204" s="3">
        <v>114</v>
      </c>
      <c r="B204" s="316"/>
      <c r="C204" s="37" t="s">
        <v>398</v>
      </c>
      <c r="D204" s="10" t="s">
        <v>399</v>
      </c>
      <c r="E204" s="50" t="s">
        <v>525</v>
      </c>
      <c r="F204" s="63">
        <f t="shared" si="3"/>
        <v>0</v>
      </c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</row>
    <row r="205" spans="1:37" x14ac:dyDescent="0.25">
      <c r="A205" s="3">
        <v>115</v>
      </c>
      <c r="B205" s="314" t="s">
        <v>400</v>
      </c>
      <c r="C205" s="37" t="s">
        <v>401</v>
      </c>
      <c r="D205" s="10" t="s">
        <v>402</v>
      </c>
      <c r="E205" s="50" t="s">
        <v>525</v>
      </c>
      <c r="F205" s="63">
        <f t="shared" si="3"/>
        <v>1320</v>
      </c>
      <c r="G205" s="76">
        <v>660</v>
      </c>
      <c r="H205" s="76">
        <v>660</v>
      </c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</row>
    <row r="206" spans="1:37" x14ac:dyDescent="0.25">
      <c r="A206" s="3">
        <v>116</v>
      </c>
      <c r="B206" s="315"/>
      <c r="C206" s="37" t="s">
        <v>403</v>
      </c>
      <c r="D206" s="10" t="s">
        <v>404</v>
      </c>
      <c r="E206" s="50" t="s">
        <v>525</v>
      </c>
      <c r="F206" s="63">
        <f t="shared" si="3"/>
        <v>0</v>
      </c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</row>
    <row r="207" spans="1:37" x14ac:dyDescent="0.25">
      <c r="A207" s="3">
        <v>117</v>
      </c>
      <c r="B207" s="315"/>
      <c r="C207" s="37" t="s">
        <v>405</v>
      </c>
      <c r="D207" s="10" t="s">
        <v>406</v>
      </c>
      <c r="E207" s="50" t="s">
        <v>525</v>
      </c>
      <c r="F207" s="63">
        <f t="shared" si="3"/>
        <v>0</v>
      </c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</row>
    <row r="208" spans="1:37" x14ac:dyDescent="0.25">
      <c r="A208" s="3">
        <v>118</v>
      </c>
      <c r="B208" s="315"/>
      <c r="C208" s="37" t="s">
        <v>407</v>
      </c>
      <c r="D208" s="10" t="s">
        <v>408</v>
      </c>
      <c r="E208" s="50" t="s">
        <v>525</v>
      </c>
      <c r="F208" s="63">
        <f t="shared" si="3"/>
        <v>0</v>
      </c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</row>
    <row r="209" spans="1:37" x14ac:dyDescent="0.25">
      <c r="A209" s="3">
        <v>119</v>
      </c>
      <c r="B209" s="316"/>
      <c r="C209" s="37" t="s">
        <v>409</v>
      </c>
      <c r="D209" s="10" t="s">
        <v>410</v>
      </c>
      <c r="E209" s="50" t="s">
        <v>525</v>
      </c>
      <c r="F209" s="63">
        <f t="shared" si="3"/>
        <v>0</v>
      </c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</row>
    <row r="210" spans="1:37" x14ac:dyDescent="0.25">
      <c r="A210" s="3">
        <v>120</v>
      </c>
      <c r="B210" s="314" t="s">
        <v>411</v>
      </c>
      <c r="C210" s="37" t="s">
        <v>412</v>
      </c>
      <c r="D210" s="10" t="s">
        <v>413</v>
      </c>
      <c r="E210" s="50" t="s">
        <v>525</v>
      </c>
      <c r="F210" s="63">
        <f t="shared" si="3"/>
        <v>0</v>
      </c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</row>
    <row r="211" spans="1:37" x14ac:dyDescent="0.25">
      <c r="A211" s="3">
        <v>121</v>
      </c>
      <c r="B211" s="315"/>
      <c r="C211" s="37" t="s">
        <v>414</v>
      </c>
      <c r="D211" s="10" t="s">
        <v>415</v>
      </c>
      <c r="E211" s="50" t="s">
        <v>525</v>
      </c>
      <c r="F211" s="63">
        <f t="shared" si="3"/>
        <v>0</v>
      </c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</row>
    <row r="212" spans="1:37" x14ac:dyDescent="0.25">
      <c r="A212" s="3">
        <v>122</v>
      </c>
      <c r="B212" s="315"/>
      <c r="C212" s="37" t="s">
        <v>416</v>
      </c>
      <c r="D212" s="10" t="s">
        <v>417</v>
      </c>
      <c r="E212" s="50" t="s">
        <v>525</v>
      </c>
      <c r="F212" s="63">
        <f t="shared" si="3"/>
        <v>0</v>
      </c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</row>
    <row r="213" spans="1:37" x14ac:dyDescent="0.25">
      <c r="A213" s="3">
        <v>123</v>
      </c>
      <c r="B213" s="315"/>
      <c r="C213" s="37" t="s">
        <v>418</v>
      </c>
      <c r="D213" s="10" t="s">
        <v>419</v>
      </c>
      <c r="E213" s="50" t="s">
        <v>525</v>
      </c>
      <c r="F213" s="63">
        <f t="shared" si="3"/>
        <v>0</v>
      </c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</row>
    <row r="214" spans="1:37" x14ac:dyDescent="0.25">
      <c r="A214" s="3">
        <v>124</v>
      </c>
      <c r="B214" s="315"/>
      <c r="C214" s="37" t="s">
        <v>420</v>
      </c>
      <c r="D214" s="10" t="s">
        <v>421</v>
      </c>
      <c r="E214" s="50" t="s">
        <v>525</v>
      </c>
      <c r="F214" s="63">
        <f t="shared" si="3"/>
        <v>0</v>
      </c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</row>
    <row r="215" spans="1:37" x14ac:dyDescent="0.25">
      <c r="A215" s="3">
        <v>125</v>
      </c>
      <c r="B215" s="315"/>
      <c r="C215" s="37" t="s">
        <v>422</v>
      </c>
      <c r="D215" s="10" t="s">
        <v>423</v>
      </c>
      <c r="E215" s="50" t="s">
        <v>525</v>
      </c>
      <c r="F215" s="63">
        <f t="shared" si="3"/>
        <v>0</v>
      </c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</row>
    <row r="216" spans="1:37" x14ac:dyDescent="0.25">
      <c r="A216" s="3">
        <v>126</v>
      </c>
      <c r="B216" s="315"/>
      <c r="C216" s="37" t="s">
        <v>424</v>
      </c>
      <c r="D216" s="10" t="s">
        <v>425</v>
      </c>
      <c r="E216" s="50" t="s">
        <v>525</v>
      </c>
      <c r="F216" s="63">
        <f t="shared" si="3"/>
        <v>0</v>
      </c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</row>
    <row r="217" spans="1:37" x14ac:dyDescent="0.25">
      <c r="A217" s="3">
        <v>127</v>
      </c>
      <c r="B217" s="315"/>
      <c r="C217" s="37" t="s">
        <v>426</v>
      </c>
      <c r="D217" s="10" t="s">
        <v>427</v>
      </c>
      <c r="E217" s="50" t="s">
        <v>525</v>
      </c>
      <c r="F217" s="63">
        <f t="shared" si="3"/>
        <v>0</v>
      </c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</row>
    <row r="218" spans="1:37" x14ac:dyDescent="0.25">
      <c r="A218" s="3">
        <v>128</v>
      </c>
      <c r="B218" s="316"/>
      <c r="C218" s="37" t="s">
        <v>428</v>
      </c>
      <c r="D218" s="10" t="s">
        <v>429</v>
      </c>
      <c r="E218" s="50" t="s">
        <v>525</v>
      </c>
      <c r="F218" s="63">
        <f t="shared" si="3"/>
        <v>0</v>
      </c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</row>
    <row r="219" spans="1:37" x14ac:dyDescent="0.25">
      <c r="A219" s="3">
        <v>129</v>
      </c>
      <c r="B219" s="314" t="s">
        <v>430</v>
      </c>
      <c r="C219" s="37" t="s">
        <v>431</v>
      </c>
      <c r="D219" s="10" t="s">
        <v>432</v>
      </c>
      <c r="E219" s="50" t="s">
        <v>525</v>
      </c>
      <c r="F219" s="63">
        <f t="shared" ref="F219:F269" si="4">SUM(G219:AK219)</f>
        <v>0</v>
      </c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</row>
    <row r="220" spans="1:37" x14ac:dyDescent="0.25">
      <c r="A220" s="3">
        <v>130</v>
      </c>
      <c r="B220" s="315"/>
      <c r="C220" s="37" t="s">
        <v>433</v>
      </c>
      <c r="D220" s="10" t="s">
        <v>434</v>
      </c>
      <c r="E220" s="50" t="s">
        <v>525</v>
      </c>
      <c r="F220" s="63">
        <f t="shared" si="4"/>
        <v>0</v>
      </c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</row>
    <row r="221" spans="1:37" x14ac:dyDescent="0.25">
      <c r="A221" s="3">
        <v>131</v>
      </c>
      <c r="B221" s="315"/>
      <c r="C221" s="37" t="s">
        <v>435</v>
      </c>
      <c r="D221" s="10" t="s">
        <v>436</v>
      </c>
      <c r="E221" s="50" t="s">
        <v>525</v>
      </c>
      <c r="F221" s="63">
        <f t="shared" si="4"/>
        <v>0</v>
      </c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</row>
    <row r="222" spans="1:37" x14ac:dyDescent="0.25">
      <c r="A222" s="3">
        <v>132</v>
      </c>
      <c r="B222" s="315"/>
      <c r="C222" s="37" t="s">
        <v>437</v>
      </c>
      <c r="D222" s="10" t="s">
        <v>438</v>
      </c>
      <c r="E222" s="50" t="s">
        <v>525</v>
      </c>
      <c r="F222" s="63">
        <f t="shared" si="4"/>
        <v>0</v>
      </c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</row>
    <row r="223" spans="1:37" x14ac:dyDescent="0.25">
      <c r="A223" s="3">
        <v>133</v>
      </c>
      <c r="B223" s="315"/>
      <c r="C223" s="37" t="s">
        <v>439</v>
      </c>
      <c r="D223" s="10" t="s">
        <v>440</v>
      </c>
      <c r="E223" s="50" t="s">
        <v>525</v>
      </c>
      <c r="F223" s="63">
        <f t="shared" si="4"/>
        <v>0</v>
      </c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</row>
    <row r="224" spans="1:37" x14ac:dyDescent="0.25">
      <c r="A224" s="3">
        <v>134</v>
      </c>
      <c r="B224" s="315"/>
      <c r="C224" s="37" t="s">
        <v>441</v>
      </c>
      <c r="D224" s="10" t="s">
        <v>442</v>
      </c>
      <c r="E224" s="50" t="s">
        <v>525</v>
      </c>
      <c r="F224" s="63">
        <f t="shared" si="4"/>
        <v>0</v>
      </c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</row>
    <row r="225" spans="1:37" x14ac:dyDescent="0.25">
      <c r="A225" s="3">
        <v>135</v>
      </c>
      <c r="B225" s="315"/>
      <c r="C225" s="37" t="s">
        <v>443</v>
      </c>
      <c r="D225" s="10" t="s">
        <v>444</v>
      </c>
      <c r="E225" s="50" t="s">
        <v>525</v>
      </c>
      <c r="F225" s="63">
        <f t="shared" si="4"/>
        <v>0</v>
      </c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</row>
    <row r="226" spans="1:37" x14ac:dyDescent="0.25">
      <c r="A226" s="3">
        <v>136</v>
      </c>
      <c r="B226" s="315"/>
      <c r="C226" s="37" t="s">
        <v>445</v>
      </c>
      <c r="D226" s="10" t="s">
        <v>446</v>
      </c>
      <c r="E226" s="50" t="s">
        <v>525</v>
      </c>
      <c r="F226" s="63">
        <f t="shared" si="4"/>
        <v>7000</v>
      </c>
      <c r="G226" s="76">
        <v>3000</v>
      </c>
      <c r="H226" s="76">
        <v>4000</v>
      </c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</row>
    <row r="227" spans="1:37" x14ac:dyDescent="0.25">
      <c r="A227" s="3">
        <v>137</v>
      </c>
      <c r="B227" s="316"/>
      <c r="C227" s="37" t="s">
        <v>447</v>
      </c>
      <c r="D227" s="10" t="s">
        <v>448</v>
      </c>
      <c r="E227" s="50" t="s">
        <v>525</v>
      </c>
      <c r="F227" s="63">
        <f t="shared" si="4"/>
        <v>400</v>
      </c>
      <c r="G227" s="76">
        <v>400</v>
      </c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</row>
    <row r="228" spans="1:37" x14ac:dyDescent="0.25">
      <c r="A228" s="3">
        <v>138</v>
      </c>
      <c r="B228" s="314" t="s">
        <v>449</v>
      </c>
      <c r="C228" s="37" t="s">
        <v>450</v>
      </c>
      <c r="D228" s="10" t="s">
        <v>451</v>
      </c>
      <c r="E228" s="50" t="s">
        <v>525</v>
      </c>
      <c r="F228" s="63">
        <f t="shared" si="4"/>
        <v>7600</v>
      </c>
      <c r="G228" s="76">
        <v>3600</v>
      </c>
      <c r="H228" s="76">
        <f>4000</f>
        <v>4000</v>
      </c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</row>
    <row r="229" spans="1:37" x14ac:dyDescent="0.25">
      <c r="A229" s="3">
        <v>139</v>
      </c>
      <c r="B229" s="315"/>
      <c r="C229" s="37" t="s">
        <v>452</v>
      </c>
      <c r="D229" s="10" t="s">
        <v>453</v>
      </c>
      <c r="E229" s="50" t="s">
        <v>525</v>
      </c>
      <c r="F229" s="63">
        <f t="shared" si="4"/>
        <v>0</v>
      </c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</row>
    <row r="230" spans="1:37" x14ac:dyDescent="0.25">
      <c r="A230" s="3">
        <v>140</v>
      </c>
      <c r="B230" s="315"/>
      <c r="C230" s="37" t="s">
        <v>454</v>
      </c>
      <c r="D230" s="10" t="s">
        <v>455</v>
      </c>
      <c r="E230" s="50" t="s">
        <v>525</v>
      </c>
      <c r="F230" s="63">
        <f t="shared" si="4"/>
        <v>0</v>
      </c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</row>
    <row r="231" spans="1:37" x14ac:dyDescent="0.25">
      <c r="A231" s="3">
        <v>141</v>
      </c>
      <c r="B231" s="315"/>
      <c r="C231" s="37" t="s">
        <v>456</v>
      </c>
      <c r="D231" s="10" t="s">
        <v>457</v>
      </c>
      <c r="E231" s="50" t="s">
        <v>525</v>
      </c>
      <c r="F231" s="63">
        <f t="shared" si="4"/>
        <v>0</v>
      </c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</row>
    <row r="232" spans="1:37" x14ac:dyDescent="0.25">
      <c r="A232" s="3">
        <v>142</v>
      </c>
      <c r="B232" s="316"/>
      <c r="C232" s="37" t="s">
        <v>458</v>
      </c>
      <c r="D232" s="10" t="s">
        <v>459</v>
      </c>
      <c r="E232" s="50" t="s">
        <v>525</v>
      </c>
      <c r="F232" s="63">
        <f t="shared" si="4"/>
        <v>0</v>
      </c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</row>
    <row r="233" spans="1:37" x14ac:dyDescent="0.25">
      <c r="A233" s="3">
        <v>143</v>
      </c>
      <c r="B233" s="314" t="s">
        <v>460</v>
      </c>
      <c r="C233" s="37" t="s">
        <v>461</v>
      </c>
      <c r="D233" s="10" t="s">
        <v>462</v>
      </c>
      <c r="E233" s="50" t="s">
        <v>525</v>
      </c>
      <c r="F233" s="63">
        <f t="shared" si="4"/>
        <v>0</v>
      </c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</row>
    <row r="234" spans="1:37" x14ac:dyDescent="0.25">
      <c r="A234" s="3">
        <v>144</v>
      </c>
      <c r="B234" s="315"/>
      <c r="C234" s="37" t="s">
        <v>463</v>
      </c>
      <c r="D234" s="10" t="s">
        <v>464</v>
      </c>
      <c r="E234" s="50" t="s">
        <v>525</v>
      </c>
      <c r="F234" s="63">
        <f t="shared" si="4"/>
        <v>0</v>
      </c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</row>
    <row r="235" spans="1:37" x14ac:dyDescent="0.25">
      <c r="A235" s="3">
        <v>145</v>
      </c>
      <c r="B235" s="315"/>
      <c r="C235" s="37" t="s">
        <v>465</v>
      </c>
      <c r="D235" s="10" t="s">
        <v>466</v>
      </c>
      <c r="E235" s="50" t="s">
        <v>525</v>
      </c>
      <c r="F235" s="63">
        <f t="shared" si="4"/>
        <v>0</v>
      </c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</row>
    <row r="236" spans="1:37" x14ac:dyDescent="0.25">
      <c r="A236" s="3">
        <v>146</v>
      </c>
      <c r="B236" s="315"/>
      <c r="C236" s="37" t="s">
        <v>467</v>
      </c>
      <c r="D236" s="10" t="s">
        <v>468</v>
      </c>
      <c r="E236" s="50" t="s">
        <v>525</v>
      </c>
      <c r="F236" s="63">
        <f t="shared" si="4"/>
        <v>0</v>
      </c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</row>
    <row r="237" spans="1:37" x14ac:dyDescent="0.25">
      <c r="A237" s="3">
        <v>147</v>
      </c>
      <c r="B237" s="315"/>
      <c r="C237" s="37" t="s">
        <v>469</v>
      </c>
      <c r="D237" s="10" t="s">
        <v>470</v>
      </c>
      <c r="E237" s="50" t="s">
        <v>525</v>
      </c>
      <c r="F237" s="63">
        <f t="shared" si="4"/>
        <v>0</v>
      </c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</row>
    <row r="238" spans="1:37" x14ac:dyDescent="0.25">
      <c r="A238" s="3">
        <v>148</v>
      </c>
      <c r="B238" s="315"/>
      <c r="C238" s="37" t="s">
        <v>471</v>
      </c>
      <c r="D238" s="10" t="s">
        <v>472</v>
      </c>
      <c r="E238" s="50" t="s">
        <v>525</v>
      </c>
      <c r="F238" s="63">
        <f t="shared" si="4"/>
        <v>0</v>
      </c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</row>
    <row r="239" spans="1:37" x14ac:dyDescent="0.25">
      <c r="A239" s="3">
        <v>149</v>
      </c>
      <c r="B239" s="315"/>
      <c r="C239" s="37" t="s">
        <v>473</v>
      </c>
      <c r="D239" s="10" t="s">
        <v>474</v>
      </c>
      <c r="E239" s="50" t="s">
        <v>525</v>
      </c>
      <c r="F239" s="63">
        <f t="shared" si="4"/>
        <v>0</v>
      </c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</row>
    <row r="240" spans="1:37" x14ac:dyDescent="0.25">
      <c r="A240" s="3">
        <v>150</v>
      </c>
      <c r="B240" s="315"/>
      <c r="C240" s="37" t="s">
        <v>475</v>
      </c>
      <c r="D240" s="10" t="s">
        <v>476</v>
      </c>
      <c r="E240" s="50" t="s">
        <v>525</v>
      </c>
      <c r="F240" s="63">
        <f t="shared" si="4"/>
        <v>0</v>
      </c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</row>
    <row r="241" spans="1:37" x14ac:dyDescent="0.25">
      <c r="A241" s="3">
        <v>151</v>
      </c>
      <c r="B241" s="315"/>
      <c r="C241" s="37" t="s">
        <v>477</v>
      </c>
      <c r="D241" s="10" t="s">
        <v>478</v>
      </c>
      <c r="E241" s="50" t="s">
        <v>525</v>
      </c>
      <c r="F241" s="63">
        <f t="shared" si="4"/>
        <v>0</v>
      </c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</row>
    <row r="242" spans="1:37" x14ac:dyDescent="0.25">
      <c r="A242" s="3">
        <v>152</v>
      </c>
      <c r="B242" s="315"/>
      <c r="C242" s="37" t="s">
        <v>479</v>
      </c>
      <c r="D242" s="10" t="s">
        <v>480</v>
      </c>
      <c r="E242" s="50" t="s">
        <v>525</v>
      </c>
      <c r="F242" s="63">
        <f t="shared" si="4"/>
        <v>0</v>
      </c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</row>
    <row r="243" spans="1:37" x14ac:dyDescent="0.25">
      <c r="A243" s="3">
        <v>153</v>
      </c>
      <c r="B243" s="315"/>
      <c r="C243" s="37" t="s">
        <v>481</v>
      </c>
      <c r="D243" s="10" t="s">
        <v>451</v>
      </c>
      <c r="E243" s="50" t="s">
        <v>525</v>
      </c>
      <c r="F243" s="63">
        <f t="shared" si="4"/>
        <v>0</v>
      </c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</row>
    <row r="244" spans="1:37" x14ac:dyDescent="0.25">
      <c r="A244" s="3">
        <v>154</v>
      </c>
      <c r="B244" s="315"/>
      <c r="C244" s="37" t="s">
        <v>482</v>
      </c>
      <c r="D244" s="10" t="s">
        <v>483</v>
      </c>
      <c r="E244" s="50" t="s">
        <v>525</v>
      </c>
      <c r="F244" s="63">
        <f t="shared" si="4"/>
        <v>0</v>
      </c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</row>
    <row r="245" spans="1:37" x14ac:dyDescent="0.25">
      <c r="A245" s="3">
        <v>155</v>
      </c>
      <c r="B245" s="315"/>
      <c r="C245" s="37" t="s">
        <v>484</v>
      </c>
      <c r="D245" s="10" t="s">
        <v>485</v>
      </c>
      <c r="E245" s="50" t="s">
        <v>525</v>
      </c>
      <c r="F245" s="63">
        <f t="shared" si="4"/>
        <v>0</v>
      </c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</row>
    <row r="246" spans="1:37" x14ac:dyDescent="0.25">
      <c r="A246" s="3">
        <v>156</v>
      </c>
      <c r="B246" s="315"/>
      <c r="C246" s="37" t="s">
        <v>486</v>
      </c>
      <c r="D246" s="10" t="s">
        <v>487</v>
      </c>
      <c r="E246" s="50" t="s">
        <v>525</v>
      </c>
      <c r="F246" s="63">
        <f t="shared" si="4"/>
        <v>0</v>
      </c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</row>
    <row r="247" spans="1:37" x14ac:dyDescent="0.25">
      <c r="A247" s="3">
        <v>157</v>
      </c>
      <c r="B247" s="315"/>
      <c r="C247" s="37" t="s">
        <v>481</v>
      </c>
      <c r="D247" s="10" t="s">
        <v>488</v>
      </c>
      <c r="E247" s="50" t="s">
        <v>525</v>
      </c>
      <c r="F247" s="63">
        <f t="shared" si="4"/>
        <v>0</v>
      </c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</row>
    <row r="248" spans="1:37" x14ac:dyDescent="0.25">
      <c r="A248" s="3">
        <v>158</v>
      </c>
      <c r="B248" s="315"/>
      <c r="C248" s="37" t="s">
        <v>482</v>
      </c>
      <c r="D248" s="10" t="s">
        <v>489</v>
      </c>
      <c r="E248" s="50" t="s">
        <v>525</v>
      </c>
      <c r="F248" s="63">
        <f t="shared" si="4"/>
        <v>0</v>
      </c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</row>
    <row r="249" spans="1:37" x14ac:dyDescent="0.25">
      <c r="A249" s="3">
        <v>159</v>
      </c>
      <c r="B249" s="315"/>
      <c r="C249" s="37" t="s">
        <v>484</v>
      </c>
      <c r="D249" s="10" t="s">
        <v>490</v>
      </c>
      <c r="E249" s="50" t="s">
        <v>525</v>
      </c>
      <c r="F249" s="63">
        <f t="shared" si="4"/>
        <v>0</v>
      </c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</row>
    <row r="250" spans="1:37" x14ac:dyDescent="0.25">
      <c r="A250" s="3">
        <v>160</v>
      </c>
      <c r="B250" s="316"/>
      <c r="C250" s="37" t="s">
        <v>486</v>
      </c>
      <c r="D250" s="10" t="s">
        <v>491</v>
      </c>
      <c r="E250" s="50" t="s">
        <v>525</v>
      </c>
      <c r="F250" s="63">
        <f t="shared" si="4"/>
        <v>0</v>
      </c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</row>
    <row r="251" spans="1:37" x14ac:dyDescent="0.25">
      <c r="A251" s="3">
        <v>161</v>
      </c>
      <c r="B251" s="41" t="s">
        <v>305</v>
      </c>
      <c r="C251" s="37" t="s">
        <v>492</v>
      </c>
      <c r="D251" s="10" t="s">
        <v>493</v>
      </c>
      <c r="E251" s="50" t="s">
        <v>525</v>
      </c>
      <c r="F251" s="63">
        <f t="shared" si="4"/>
        <v>8400</v>
      </c>
      <c r="G251" s="76">
        <f>4200</f>
        <v>4200</v>
      </c>
      <c r="H251" s="76">
        <f>4200</f>
        <v>4200</v>
      </c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</row>
    <row r="252" spans="1:37" x14ac:dyDescent="0.25">
      <c r="A252" s="3">
        <v>162</v>
      </c>
      <c r="B252" s="45" t="s">
        <v>494</v>
      </c>
      <c r="C252" s="37" t="s">
        <v>495</v>
      </c>
      <c r="D252" s="10" t="s">
        <v>496</v>
      </c>
      <c r="E252" s="50" t="s">
        <v>525</v>
      </c>
      <c r="F252" s="63">
        <f t="shared" si="4"/>
        <v>0</v>
      </c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/>
      <c r="AK252" s="76"/>
    </row>
    <row r="253" spans="1:37" x14ac:dyDescent="0.25">
      <c r="A253" s="3">
        <v>163</v>
      </c>
      <c r="B253" s="41" t="s">
        <v>497</v>
      </c>
      <c r="C253" s="37" t="s">
        <v>498</v>
      </c>
      <c r="D253" s="10" t="s">
        <v>499</v>
      </c>
      <c r="E253" s="50" t="s">
        <v>525</v>
      </c>
      <c r="F253" s="63">
        <f t="shared" si="4"/>
        <v>0</v>
      </c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76"/>
      <c r="AG253" s="76"/>
      <c r="AH253" s="76"/>
      <c r="AI253" s="76"/>
      <c r="AJ253" s="76"/>
      <c r="AK253" s="76"/>
    </row>
    <row r="254" spans="1:37" x14ac:dyDescent="0.25">
      <c r="A254" s="3"/>
      <c r="B254" s="46" t="s">
        <v>500</v>
      </c>
      <c r="C254" s="37" t="s">
        <v>501</v>
      </c>
      <c r="D254" s="10" t="s">
        <v>502</v>
      </c>
      <c r="E254" s="50"/>
      <c r="F254" s="63">
        <f t="shared" si="4"/>
        <v>7400</v>
      </c>
      <c r="G254" s="76">
        <f>3200</f>
        <v>3200</v>
      </c>
      <c r="H254" s="76">
        <v>4200</v>
      </c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/>
      <c r="AC254" s="76"/>
      <c r="AD254" s="76"/>
      <c r="AE254" s="76"/>
      <c r="AF254" s="76"/>
      <c r="AG254" s="76"/>
      <c r="AH254" s="76"/>
      <c r="AI254" s="76"/>
      <c r="AJ254" s="76"/>
      <c r="AK254" s="76"/>
    </row>
    <row r="255" spans="1:37" x14ac:dyDescent="0.25">
      <c r="A255" s="3">
        <v>164</v>
      </c>
      <c r="B255" s="341" t="s">
        <v>494</v>
      </c>
      <c r="C255" s="37" t="s">
        <v>503</v>
      </c>
      <c r="D255" s="10" t="s">
        <v>504</v>
      </c>
      <c r="E255" s="50" t="s">
        <v>525</v>
      </c>
      <c r="F255" s="63">
        <f t="shared" si="4"/>
        <v>0</v>
      </c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/>
      <c r="AC255" s="76"/>
      <c r="AD255" s="76"/>
      <c r="AE255" s="76"/>
      <c r="AF255" s="76"/>
      <c r="AG255" s="76"/>
      <c r="AH255" s="76"/>
      <c r="AI255" s="76"/>
      <c r="AJ255" s="76"/>
      <c r="AK255" s="76"/>
    </row>
    <row r="256" spans="1:37" x14ac:dyDescent="0.25">
      <c r="A256" s="3">
        <v>165</v>
      </c>
      <c r="B256" s="342"/>
      <c r="C256" s="37" t="s">
        <v>505</v>
      </c>
      <c r="D256" s="10" t="s">
        <v>506</v>
      </c>
      <c r="E256" s="50" t="s">
        <v>525</v>
      </c>
      <c r="F256" s="63">
        <f t="shared" si="4"/>
        <v>0</v>
      </c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/>
      <c r="AC256" s="76"/>
      <c r="AD256" s="76"/>
      <c r="AE256" s="76"/>
      <c r="AF256" s="76"/>
      <c r="AG256" s="76"/>
      <c r="AH256" s="76"/>
      <c r="AI256" s="76"/>
      <c r="AJ256" s="76"/>
      <c r="AK256" s="76"/>
    </row>
    <row r="257" spans="1:37" x14ac:dyDescent="0.25">
      <c r="A257" s="3">
        <v>166</v>
      </c>
      <c r="B257" s="41" t="s">
        <v>305</v>
      </c>
      <c r="C257" s="37">
        <v>426623811</v>
      </c>
      <c r="D257" s="10" t="s">
        <v>507</v>
      </c>
      <c r="E257" s="50" t="s">
        <v>525</v>
      </c>
      <c r="F257" s="63">
        <f t="shared" si="4"/>
        <v>8000</v>
      </c>
      <c r="G257" s="76">
        <f>4000</f>
        <v>4000</v>
      </c>
      <c r="H257" s="76">
        <f>4000</f>
        <v>4000</v>
      </c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/>
      <c r="AC257" s="76"/>
      <c r="AD257" s="76"/>
      <c r="AE257" s="76"/>
      <c r="AF257" s="76"/>
      <c r="AG257" s="76"/>
      <c r="AH257" s="76"/>
      <c r="AI257" s="76"/>
      <c r="AJ257" s="76"/>
      <c r="AK257" s="76"/>
    </row>
    <row r="258" spans="1:37" x14ac:dyDescent="0.25">
      <c r="A258" s="3">
        <v>167</v>
      </c>
      <c r="B258" s="341" t="s">
        <v>508</v>
      </c>
      <c r="C258" s="37">
        <v>459464701</v>
      </c>
      <c r="D258" s="10" t="s">
        <v>509</v>
      </c>
      <c r="E258" s="50" t="s">
        <v>525</v>
      </c>
      <c r="F258" s="63">
        <f t="shared" si="4"/>
        <v>9000</v>
      </c>
      <c r="G258" s="76">
        <v>3000</v>
      </c>
      <c r="H258" s="76">
        <f>4000+2000</f>
        <v>6000</v>
      </c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  <c r="AF258" s="76"/>
      <c r="AG258" s="76"/>
      <c r="AH258" s="76"/>
      <c r="AI258" s="76"/>
      <c r="AJ258" s="76"/>
      <c r="AK258" s="76"/>
    </row>
    <row r="259" spans="1:37" x14ac:dyDescent="0.25">
      <c r="A259" s="3">
        <v>168</v>
      </c>
      <c r="B259" s="342"/>
      <c r="C259" s="37">
        <v>459639901</v>
      </c>
      <c r="D259" s="10" t="s">
        <v>510</v>
      </c>
      <c r="E259" s="50" t="s">
        <v>525</v>
      </c>
      <c r="F259" s="63">
        <f t="shared" si="4"/>
        <v>8000</v>
      </c>
      <c r="G259" s="76">
        <v>4000</v>
      </c>
      <c r="H259" s="76">
        <v>4000</v>
      </c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  <c r="AE259" s="76"/>
      <c r="AF259" s="76"/>
      <c r="AG259" s="76"/>
      <c r="AH259" s="76"/>
      <c r="AI259" s="76"/>
      <c r="AJ259" s="76"/>
      <c r="AK259" s="76"/>
    </row>
    <row r="260" spans="1:37" x14ac:dyDescent="0.25">
      <c r="A260" s="3">
        <v>169</v>
      </c>
      <c r="B260" s="75" t="s">
        <v>511</v>
      </c>
      <c r="C260" s="37" t="s">
        <v>512</v>
      </c>
      <c r="D260" s="10" t="s">
        <v>513</v>
      </c>
      <c r="E260" s="50" t="s">
        <v>528</v>
      </c>
      <c r="F260" s="63">
        <f t="shared" si="4"/>
        <v>0</v>
      </c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76"/>
      <c r="AF260" s="76"/>
      <c r="AG260" s="76"/>
      <c r="AH260" s="76"/>
      <c r="AI260" s="76"/>
      <c r="AJ260" s="76"/>
      <c r="AK260" s="76"/>
    </row>
    <row r="261" spans="1:37" x14ac:dyDescent="0.25">
      <c r="A261" s="3">
        <v>170</v>
      </c>
      <c r="B261" s="45" t="s">
        <v>497</v>
      </c>
      <c r="C261" s="47">
        <v>418814402</v>
      </c>
      <c r="D261" s="48" t="s">
        <v>514</v>
      </c>
      <c r="E261" s="50" t="s">
        <v>528</v>
      </c>
      <c r="F261" s="63">
        <f t="shared" si="4"/>
        <v>2</v>
      </c>
      <c r="G261" s="76"/>
      <c r="H261" s="76">
        <f>2</f>
        <v>2</v>
      </c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/>
      <c r="AC261" s="76"/>
      <c r="AD261" s="76"/>
      <c r="AE261" s="76"/>
      <c r="AF261" s="76"/>
      <c r="AG261" s="76"/>
      <c r="AH261" s="76"/>
      <c r="AI261" s="76"/>
      <c r="AJ261" s="76"/>
      <c r="AK261" s="76"/>
    </row>
    <row r="262" spans="1:37" x14ac:dyDescent="0.25">
      <c r="A262" s="3">
        <v>171</v>
      </c>
      <c r="B262" s="41" t="s">
        <v>305</v>
      </c>
      <c r="C262" s="37">
        <v>418814402</v>
      </c>
      <c r="D262" s="10" t="s">
        <v>515</v>
      </c>
      <c r="E262" s="50" t="s">
        <v>529</v>
      </c>
      <c r="F262" s="63">
        <f t="shared" si="4"/>
        <v>14</v>
      </c>
      <c r="G262" s="76">
        <v>14</v>
      </c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76"/>
      <c r="AF262" s="76"/>
      <c r="AG262" s="76"/>
      <c r="AH262" s="76"/>
      <c r="AI262" s="76"/>
      <c r="AJ262" s="76"/>
      <c r="AK262" s="76"/>
    </row>
    <row r="263" spans="1:37" x14ac:dyDescent="0.25">
      <c r="A263" s="3">
        <v>172</v>
      </c>
      <c r="B263" s="45" t="s">
        <v>497</v>
      </c>
      <c r="C263" s="37">
        <v>666549701</v>
      </c>
      <c r="D263" s="10" t="s">
        <v>516</v>
      </c>
      <c r="E263" s="50" t="s">
        <v>529</v>
      </c>
      <c r="F263" s="63">
        <f t="shared" si="4"/>
        <v>11</v>
      </c>
      <c r="G263" s="76">
        <f>2+4</f>
        <v>6</v>
      </c>
      <c r="H263" s="76">
        <f>5</f>
        <v>5</v>
      </c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/>
      <c r="AC263" s="76"/>
      <c r="AD263" s="76"/>
      <c r="AE263" s="76"/>
      <c r="AF263" s="76"/>
      <c r="AG263" s="76"/>
      <c r="AH263" s="76"/>
      <c r="AI263" s="76"/>
      <c r="AJ263" s="76"/>
      <c r="AK263" s="76"/>
    </row>
    <row r="264" spans="1:37" x14ac:dyDescent="0.25">
      <c r="A264" s="3">
        <v>173</v>
      </c>
      <c r="B264" s="41" t="s">
        <v>305</v>
      </c>
      <c r="C264" s="37">
        <v>472740901</v>
      </c>
      <c r="D264" s="10" t="s">
        <v>517</v>
      </c>
      <c r="E264" s="50" t="s">
        <v>530</v>
      </c>
      <c r="F264" s="63">
        <f t="shared" si="4"/>
        <v>1200</v>
      </c>
      <c r="G264" s="76">
        <f>700</f>
        <v>700</v>
      </c>
      <c r="H264" s="76">
        <f>500</f>
        <v>500</v>
      </c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</row>
    <row r="265" spans="1:37" x14ac:dyDescent="0.25">
      <c r="A265" s="3">
        <v>174</v>
      </c>
      <c r="B265" s="45" t="s">
        <v>497</v>
      </c>
      <c r="C265" s="37">
        <v>666549701</v>
      </c>
      <c r="D265" s="10" t="s">
        <v>518</v>
      </c>
      <c r="E265" s="50" t="s">
        <v>530</v>
      </c>
      <c r="F265" s="63">
        <f t="shared" si="4"/>
        <v>1300</v>
      </c>
      <c r="G265" s="76">
        <f>600</f>
        <v>600</v>
      </c>
      <c r="H265" s="76">
        <f>700</f>
        <v>700</v>
      </c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76"/>
      <c r="AG265" s="76"/>
      <c r="AH265" s="76"/>
      <c r="AI265" s="76"/>
      <c r="AJ265" s="76"/>
      <c r="AK265" s="76"/>
    </row>
    <row r="266" spans="1:37" x14ac:dyDescent="0.25">
      <c r="A266" s="3">
        <v>175</v>
      </c>
      <c r="B266" s="41" t="s">
        <v>305</v>
      </c>
      <c r="C266" s="44" t="s">
        <v>519</v>
      </c>
      <c r="D266" s="10" t="s">
        <v>520</v>
      </c>
      <c r="E266" s="50" t="s">
        <v>525</v>
      </c>
      <c r="F266" s="63">
        <f t="shared" si="4"/>
        <v>45</v>
      </c>
      <c r="G266" s="76">
        <f>15+10</f>
        <v>25</v>
      </c>
      <c r="H266" s="76">
        <f>10+10</f>
        <v>20</v>
      </c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/>
      <c r="AC266" s="76"/>
      <c r="AD266" s="76"/>
      <c r="AE266" s="76"/>
      <c r="AF266" s="76"/>
      <c r="AG266" s="76"/>
      <c r="AH266" s="76"/>
      <c r="AI266" s="76"/>
      <c r="AJ266" s="76"/>
      <c r="AK266" s="76"/>
    </row>
    <row r="267" spans="1:37" x14ac:dyDescent="0.25">
      <c r="A267" s="3">
        <v>176</v>
      </c>
      <c r="B267" s="41" t="s">
        <v>305</v>
      </c>
      <c r="C267" s="44" t="s">
        <v>521</v>
      </c>
      <c r="D267" s="10" t="s">
        <v>522</v>
      </c>
      <c r="E267" s="50" t="s">
        <v>525</v>
      </c>
      <c r="F267" s="63">
        <f t="shared" si="4"/>
        <v>15</v>
      </c>
      <c r="G267" s="76">
        <v>10</v>
      </c>
      <c r="H267" s="76">
        <f>5</f>
        <v>5</v>
      </c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6"/>
      <c r="AC267" s="76"/>
      <c r="AD267" s="76"/>
      <c r="AE267" s="76"/>
      <c r="AF267" s="76"/>
      <c r="AG267" s="76"/>
      <c r="AH267" s="76"/>
      <c r="AI267" s="76"/>
      <c r="AJ267" s="76"/>
      <c r="AK267" s="76"/>
    </row>
    <row r="268" spans="1:37" x14ac:dyDescent="0.25">
      <c r="A268" s="3">
        <v>177</v>
      </c>
      <c r="B268" s="41" t="s">
        <v>305</v>
      </c>
      <c r="C268" s="44" t="s">
        <v>523</v>
      </c>
      <c r="D268" s="10" t="s">
        <v>524</v>
      </c>
      <c r="E268" s="50" t="s">
        <v>525</v>
      </c>
      <c r="F268" s="63">
        <f t="shared" si="4"/>
        <v>0</v>
      </c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6"/>
      <c r="AC268" s="76"/>
      <c r="AD268" s="76"/>
      <c r="AE268" s="76"/>
      <c r="AF268" s="76"/>
      <c r="AG268" s="76"/>
      <c r="AH268" s="76"/>
      <c r="AI268" s="76"/>
      <c r="AJ268" s="76"/>
      <c r="AK268" s="76"/>
    </row>
    <row r="269" spans="1:37" x14ac:dyDescent="0.25">
      <c r="A269" s="3">
        <v>178</v>
      </c>
      <c r="B269" s="41" t="s">
        <v>497</v>
      </c>
      <c r="C269" s="44">
        <v>469425301</v>
      </c>
      <c r="D269" s="10" t="s">
        <v>535</v>
      </c>
      <c r="E269" s="50" t="s">
        <v>525</v>
      </c>
      <c r="F269" s="63">
        <f t="shared" si="4"/>
        <v>3000</v>
      </c>
      <c r="G269" s="76">
        <v>3000</v>
      </c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76"/>
      <c r="AG269" s="76"/>
      <c r="AH269" s="76"/>
      <c r="AI269" s="76"/>
      <c r="AJ269" s="76"/>
      <c r="AK269" s="76"/>
    </row>
  </sheetData>
  <mergeCells count="50">
    <mergeCell ref="B255:B256"/>
    <mergeCell ref="B258:B259"/>
    <mergeCell ref="B196:B204"/>
    <mergeCell ref="B205:B209"/>
    <mergeCell ref="B210:B218"/>
    <mergeCell ref="B219:B227"/>
    <mergeCell ref="B228:B232"/>
    <mergeCell ref="B233:B250"/>
    <mergeCell ref="B182:B195"/>
    <mergeCell ref="B125:B129"/>
    <mergeCell ref="B130:B134"/>
    <mergeCell ref="B135:B138"/>
    <mergeCell ref="B139:B140"/>
    <mergeCell ref="B141:B146"/>
    <mergeCell ref="B147:B150"/>
    <mergeCell ref="B151:B158"/>
    <mergeCell ref="B159:B160"/>
    <mergeCell ref="B164:B166"/>
    <mergeCell ref="B168:B176"/>
    <mergeCell ref="B177:B181"/>
    <mergeCell ref="B94:B98"/>
    <mergeCell ref="B99:B100"/>
    <mergeCell ref="B101:B110"/>
    <mergeCell ref="B111:B114"/>
    <mergeCell ref="B115:B119"/>
    <mergeCell ref="B120:B124"/>
    <mergeCell ref="B66:B75"/>
    <mergeCell ref="B76:B78"/>
    <mergeCell ref="B79:B83"/>
    <mergeCell ref="G3:AK3"/>
    <mergeCell ref="A89:AK89"/>
    <mergeCell ref="B90:B93"/>
    <mergeCell ref="B42:B45"/>
    <mergeCell ref="B46:B47"/>
    <mergeCell ref="B48:B49"/>
    <mergeCell ref="B50:B55"/>
    <mergeCell ref="B56:B60"/>
    <mergeCell ref="B61:B65"/>
    <mergeCell ref="B16:B18"/>
    <mergeCell ref="B19:B23"/>
    <mergeCell ref="B24:B27"/>
    <mergeCell ref="B28:B32"/>
    <mergeCell ref="B34:B37"/>
    <mergeCell ref="B38:B41"/>
    <mergeCell ref="A1:G2"/>
    <mergeCell ref="A4:D4"/>
    <mergeCell ref="F3:F4"/>
    <mergeCell ref="B5:B8"/>
    <mergeCell ref="B9:B13"/>
    <mergeCell ref="B14:B15"/>
  </mergeCells>
  <phoneticPr fontId="2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K269"/>
  <sheetViews>
    <sheetView workbookViewId="0">
      <selection activeCell="F90" sqref="F90"/>
    </sheetView>
  </sheetViews>
  <sheetFormatPr defaultRowHeight="17.399999999999999" x14ac:dyDescent="0.4"/>
  <sheetData>
    <row r="1" spans="1:37" x14ac:dyDescent="0.4">
      <c r="A1" s="323" t="s">
        <v>594</v>
      </c>
      <c r="B1" s="323"/>
      <c r="C1" s="323"/>
      <c r="D1" s="323"/>
      <c r="E1" s="323"/>
      <c r="F1" s="323"/>
      <c r="G1" s="323"/>
    </row>
    <row r="2" spans="1:37" x14ac:dyDescent="0.4">
      <c r="A2" s="324"/>
      <c r="B2" s="324"/>
      <c r="C2" s="324"/>
      <c r="D2" s="324"/>
      <c r="E2" s="324"/>
      <c r="F2" s="324"/>
      <c r="G2" s="324"/>
    </row>
    <row r="3" spans="1:37" ht="18.600000000000001" x14ac:dyDescent="0.4">
      <c r="A3" s="55" t="s">
        <v>2</v>
      </c>
      <c r="B3" s="55" t="s">
        <v>3</v>
      </c>
      <c r="C3" s="55" t="s">
        <v>531</v>
      </c>
      <c r="D3" s="55" t="s">
        <v>4</v>
      </c>
      <c r="E3" s="56" t="s">
        <v>35</v>
      </c>
      <c r="F3" s="311" t="s">
        <v>536</v>
      </c>
      <c r="G3" s="344" t="s">
        <v>533</v>
      </c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5"/>
      <c r="W3" s="345"/>
      <c r="X3" s="345"/>
      <c r="Y3" s="345"/>
      <c r="Z3" s="345"/>
      <c r="AA3" s="345"/>
      <c r="AB3" s="345"/>
      <c r="AC3" s="345"/>
      <c r="AD3" s="345"/>
      <c r="AE3" s="345"/>
      <c r="AF3" s="345"/>
      <c r="AG3" s="345"/>
      <c r="AH3" s="345"/>
      <c r="AI3" s="345"/>
      <c r="AJ3" s="345"/>
      <c r="AK3" s="346"/>
    </row>
    <row r="4" spans="1:37" ht="18.600000000000001" x14ac:dyDescent="0.4">
      <c r="A4" s="325" t="s">
        <v>36</v>
      </c>
      <c r="B4" s="326"/>
      <c r="C4" s="326"/>
      <c r="D4" s="326"/>
      <c r="E4" s="57"/>
      <c r="F4" s="312"/>
      <c r="G4" s="49">
        <v>1</v>
      </c>
      <c r="H4" s="49">
        <v>2</v>
      </c>
      <c r="I4" s="49">
        <v>3</v>
      </c>
      <c r="J4" s="49">
        <v>4</v>
      </c>
      <c r="K4" s="49">
        <v>5</v>
      </c>
      <c r="L4" s="49">
        <v>6</v>
      </c>
      <c r="M4" s="49">
        <v>7</v>
      </c>
      <c r="N4" s="49">
        <v>8</v>
      </c>
      <c r="O4" s="49">
        <v>9</v>
      </c>
      <c r="P4" s="49">
        <v>10</v>
      </c>
      <c r="Q4" s="49">
        <v>11</v>
      </c>
      <c r="R4" s="49">
        <v>12</v>
      </c>
      <c r="S4" s="49">
        <v>13</v>
      </c>
      <c r="T4" s="49">
        <v>14</v>
      </c>
      <c r="U4" s="49">
        <v>15</v>
      </c>
      <c r="V4" s="49">
        <v>16</v>
      </c>
      <c r="W4" s="49">
        <v>17</v>
      </c>
      <c r="X4" s="49">
        <v>18</v>
      </c>
      <c r="Y4" s="49">
        <v>19</v>
      </c>
      <c r="Z4" s="49">
        <v>20</v>
      </c>
      <c r="AA4" s="49">
        <v>21</v>
      </c>
      <c r="AB4" s="49">
        <v>22</v>
      </c>
      <c r="AC4" s="49">
        <v>23</v>
      </c>
      <c r="AD4" s="49">
        <v>24</v>
      </c>
      <c r="AE4" s="49">
        <v>25</v>
      </c>
      <c r="AF4" s="49">
        <v>26</v>
      </c>
      <c r="AG4" s="49">
        <v>27</v>
      </c>
      <c r="AH4" s="49">
        <v>28</v>
      </c>
      <c r="AI4" s="49">
        <v>29</v>
      </c>
      <c r="AJ4" s="49">
        <v>30</v>
      </c>
      <c r="AK4" s="49">
        <v>31</v>
      </c>
    </row>
    <row r="5" spans="1:37" ht="24" x14ac:dyDescent="0.4">
      <c r="A5" s="3">
        <v>1</v>
      </c>
      <c r="B5" s="313" t="s">
        <v>37</v>
      </c>
      <c r="C5" s="4" t="s">
        <v>38</v>
      </c>
      <c r="D5" s="5" t="s">
        <v>39</v>
      </c>
      <c r="E5" s="58" t="s">
        <v>525</v>
      </c>
      <c r="F5" s="62">
        <f>SUM(G5:AK68)</f>
        <v>0</v>
      </c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</row>
    <row r="6" spans="1:37" ht="24" x14ac:dyDescent="0.4">
      <c r="A6" s="3">
        <v>2</v>
      </c>
      <c r="B6" s="309"/>
      <c r="C6" s="4" t="s">
        <v>40</v>
      </c>
      <c r="D6" s="6" t="s">
        <v>41</v>
      </c>
      <c r="E6" s="58" t="s">
        <v>525</v>
      </c>
      <c r="F6" s="62">
        <f t="shared" ref="F6:F69" si="0">SUM(G6:AK69)</f>
        <v>0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</row>
    <row r="7" spans="1:37" ht="24" x14ac:dyDescent="0.4">
      <c r="A7" s="3">
        <v>3</v>
      </c>
      <c r="B7" s="309"/>
      <c r="C7" s="4" t="s">
        <v>42</v>
      </c>
      <c r="D7" s="7" t="s">
        <v>43</v>
      </c>
      <c r="E7" s="58" t="s">
        <v>525</v>
      </c>
      <c r="F7" s="62">
        <f t="shared" si="0"/>
        <v>0</v>
      </c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</row>
    <row r="8" spans="1:37" ht="24" x14ac:dyDescent="0.4">
      <c r="A8" s="3">
        <v>4</v>
      </c>
      <c r="B8" s="310"/>
      <c r="C8" s="4" t="s">
        <v>44</v>
      </c>
      <c r="D8" s="8" t="s">
        <v>45</v>
      </c>
      <c r="E8" s="58" t="s">
        <v>525</v>
      </c>
      <c r="F8" s="62">
        <f t="shared" si="0"/>
        <v>0</v>
      </c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</row>
    <row r="9" spans="1:37" ht="24" x14ac:dyDescent="0.4">
      <c r="A9" s="3">
        <v>5</v>
      </c>
      <c r="B9" s="313" t="s">
        <v>46</v>
      </c>
      <c r="C9" s="4" t="s">
        <v>47</v>
      </c>
      <c r="D9" s="5" t="s">
        <v>39</v>
      </c>
      <c r="E9" s="58" t="s">
        <v>525</v>
      </c>
      <c r="F9" s="62">
        <f t="shared" si="0"/>
        <v>0</v>
      </c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</row>
    <row r="10" spans="1:37" ht="24" x14ac:dyDescent="0.4">
      <c r="A10" s="3">
        <v>6</v>
      </c>
      <c r="B10" s="309"/>
      <c r="C10" s="4" t="s">
        <v>48</v>
      </c>
      <c r="D10" s="6" t="s">
        <v>41</v>
      </c>
      <c r="E10" s="58" t="s">
        <v>525</v>
      </c>
      <c r="F10" s="62">
        <f t="shared" si="0"/>
        <v>0</v>
      </c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</row>
    <row r="11" spans="1:37" ht="24" x14ac:dyDescent="0.4">
      <c r="A11" s="3">
        <v>7</v>
      </c>
      <c r="B11" s="309"/>
      <c r="C11" s="4" t="s">
        <v>49</v>
      </c>
      <c r="D11" s="7" t="s">
        <v>50</v>
      </c>
      <c r="E11" s="58" t="s">
        <v>525</v>
      </c>
      <c r="F11" s="62">
        <f t="shared" si="0"/>
        <v>0</v>
      </c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</row>
    <row r="12" spans="1:37" ht="24" x14ac:dyDescent="0.4">
      <c r="A12" s="3">
        <v>8</v>
      </c>
      <c r="B12" s="309"/>
      <c r="C12" s="4" t="s">
        <v>51</v>
      </c>
      <c r="D12" s="7" t="s">
        <v>43</v>
      </c>
      <c r="E12" s="58" t="s">
        <v>525</v>
      </c>
      <c r="F12" s="62">
        <f t="shared" si="0"/>
        <v>0</v>
      </c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</row>
    <row r="13" spans="1:37" ht="24" x14ac:dyDescent="0.4">
      <c r="A13" s="3">
        <v>9</v>
      </c>
      <c r="B13" s="310"/>
      <c r="C13" s="4" t="s">
        <v>52</v>
      </c>
      <c r="D13" s="8" t="s">
        <v>45</v>
      </c>
      <c r="E13" s="58" t="s">
        <v>525</v>
      </c>
      <c r="F13" s="62">
        <f t="shared" si="0"/>
        <v>0</v>
      </c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</row>
    <row r="14" spans="1:37" ht="24" x14ac:dyDescent="0.4">
      <c r="A14" s="3">
        <v>10</v>
      </c>
      <c r="B14" s="313" t="s">
        <v>53</v>
      </c>
      <c r="C14" s="4" t="s">
        <v>54</v>
      </c>
      <c r="D14" s="5" t="s">
        <v>39</v>
      </c>
      <c r="E14" s="58" t="s">
        <v>525</v>
      </c>
      <c r="F14" s="62">
        <f t="shared" si="0"/>
        <v>0</v>
      </c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</row>
    <row r="15" spans="1:37" ht="24" x14ac:dyDescent="0.4">
      <c r="A15" s="3">
        <v>11</v>
      </c>
      <c r="B15" s="310"/>
      <c r="C15" s="4" t="s">
        <v>55</v>
      </c>
      <c r="D15" s="6" t="s">
        <v>41</v>
      </c>
      <c r="E15" s="58" t="s">
        <v>525</v>
      </c>
      <c r="F15" s="62">
        <f t="shared" si="0"/>
        <v>0</v>
      </c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</row>
    <row r="16" spans="1:37" x14ac:dyDescent="0.4">
      <c r="A16" s="3">
        <v>12</v>
      </c>
      <c r="B16" s="313" t="s">
        <v>56</v>
      </c>
      <c r="C16" s="9" t="s">
        <v>57</v>
      </c>
      <c r="D16" s="10" t="s">
        <v>58</v>
      </c>
      <c r="E16" s="58" t="s">
        <v>525</v>
      </c>
      <c r="F16" s="62">
        <f t="shared" si="0"/>
        <v>0</v>
      </c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</row>
    <row r="17" spans="1:37" ht="24" x14ac:dyDescent="0.4">
      <c r="A17" s="3">
        <v>13</v>
      </c>
      <c r="B17" s="309"/>
      <c r="C17" s="4" t="s">
        <v>59</v>
      </c>
      <c r="D17" s="10" t="s">
        <v>58</v>
      </c>
      <c r="E17" s="58" t="s">
        <v>525</v>
      </c>
      <c r="F17" s="62">
        <f t="shared" si="0"/>
        <v>0</v>
      </c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</row>
    <row r="18" spans="1:37" x14ac:dyDescent="0.4">
      <c r="A18" s="3">
        <v>14</v>
      </c>
      <c r="B18" s="310"/>
      <c r="C18" s="9" t="s">
        <v>60</v>
      </c>
      <c r="D18" s="10" t="s">
        <v>58</v>
      </c>
      <c r="E18" s="58" t="s">
        <v>525</v>
      </c>
      <c r="F18" s="62">
        <f t="shared" si="0"/>
        <v>0</v>
      </c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</row>
    <row r="19" spans="1:37" x14ac:dyDescent="0.4">
      <c r="A19" s="3">
        <v>15</v>
      </c>
      <c r="B19" s="306" t="s">
        <v>61</v>
      </c>
      <c r="C19" s="9" t="s">
        <v>62</v>
      </c>
      <c r="D19" s="10" t="s">
        <v>63</v>
      </c>
      <c r="E19" s="58" t="s">
        <v>525</v>
      </c>
      <c r="F19" s="62">
        <f t="shared" si="0"/>
        <v>0</v>
      </c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</row>
    <row r="20" spans="1:37" x14ac:dyDescent="0.4">
      <c r="A20" s="3">
        <v>16</v>
      </c>
      <c r="B20" s="307"/>
      <c r="C20" s="11" t="s">
        <v>64</v>
      </c>
      <c r="D20" s="10" t="s">
        <v>65</v>
      </c>
      <c r="E20" s="58" t="s">
        <v>525</v>
      </c>
      <c r="F20" s="62">
        <f t="shared" si="0"/>
        <v>0</v>
      </c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</row>
    <row r="21" spans="1:37" x14ac:dyDescent="0.4">
      <c r="A21" s="3">
        <v>17</v>
      </c>
      <c r="B21" s="307"/>
      <c r="C21" s="11" t="s">
        <v>66</v>
      </c>
      <c r="D21" s="10" t="s">
        <v>67</v>
      </c>
      <c r="E21" s="58" t="s">
        <v>525</v>
      </c>
      <c r="F21" s="62">
        <f t="shared" si="0"/>
        <v>0</v>
      </c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</row>
    <row r="22" spans="1:37" x14ac:dyDescent="0.4">
      <c r="A22" s="3">
        <v>18</v>
      </c>
      <c r="B22" s="307"/>
      <c r="C22" s="11" t="s">
        <v>68</v>
      </c>
      <c r="D22" s="10" t="s">
        <v>69</v>
      </c>
      <c r="E22" s="58" t="s">
        <v>525</v>
      </c>
      <c r="F22" s="62">
        <f t="shared" si="0"/>
        <v>0</v>
      </c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</row>
    <row r="23" spans="1:37" x14ac:dyDescent="0.4">
      <c r="A23" s="3">
        <v>19</v>
      </c>
      <c r="B23" s="308"/>
      <c r="C23" s="11" t="s">
        <v>70</v>
      </c>
      <c r="D23" s="10" t="s">
        <v>71</v>
      </c>
      <c r="E23" s="58" t="s">
        <v>525</v>
      </c>
      <c r="F23" s="62">
        <f t="shared" si="0"/>
        <v>0</v>
      </c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</row>
    <row r="24" spans="1:37" x14ac:dyDescent="0.4">
      <c r="A24" s="3">
        <v>20</v>
      </c>
      <c r="B24" s="306" t="s">
        <v>72</v>
      </c>
      <c r="C24" s="9" t="s">
        <v>73</v>
      </c>
      <c r="D24" s="10" t="s">
        <v>74</v>
      </c>
      <c r="E24" s="58" t="s">
        <v>525</v>
      </c>
      <c r="F24" s="62">
        <f t="shared" si="0"/>
        <v>0</v>
      </c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</row>
    <row r="25" spans="1:37" x14ac:dyDescent="0.4">
      <c r="A25" s="3">
        <v>21</v>
      </c>
      <c r="B25" s="307"/>
      <c r="C25" s="9" t="s">
        <v>75</v>
      </c>
      <c r="D25" s="10" t="s">
        <v>76</v>
      </c>
      <c r="E25" s="58" t="s">
        <v>525</v>
      </c>
      <c r="F25" s="62">
        <f t="shared" si="0"/>
        <v>0</v>
      </c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</row>
    <row r="26" spans="1:37" x14ac:dyDescent="0.4">
      <c r="A26" s="3">
        <v>22</v>
      </c>
      <c r="B26" s="307"/>
      <c r="C26" s="9" t="s">
        <v>77</v>
      </c>
      <c r="D26" s="10" t="s">
        <v>78</v>
      </c>
      <c r="E26" s="58" t="s">
        <v>525</v>
      </c>
      <c r="F26" s="62">
        <f t="shared" si="0"/>
        <v>0</v>
      </c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</row>
    <row r="27" spans="1:37" x14ac:dyDescent="0.4">
      <c r="A27" s="3">
        <v>23</v>
      </c>
      <c r="B27" s="308"/>
      <c r="C27" s="9" t="s">
        <v>79</v>
      </c>
      <c r="D27" s="10" t="s">
        <v>80</v>
      </c>
      <c r="E27" s="58" t="s">
        <v>525</v>
      </c>
      <c r="F27" s="62">
        <f t="shared" si="0"/>
        <v>0</v>
      </c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</row>
    <row r="28" spans="1:37" x14ac:dyDescent="0.4">
      <c r="A28" s="3">
        <v>24</v>
      </c>
      <c r="B28" s="306" t="s">
        <v>81</v>
      </c>
      <c r="C28" s="11" t="s">
        <v>82</v>
      </c>
      <c r="D28" s="10" t="s">
        <v>83</v>
      </c>
      <c r="E28" s="58" t="s">
        <v>525</v>
      </c>
      <c r="F28" s="62">
        <f t="shared" si="0"/>
        <v>0</v>
      </c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</row>
    <row r="29" spans="1:37" x14ac:dyDescent="0.4">
      <c r="A29" s="3">
        <v>25</v>
      </c>
      <c r="B29" s="307"/>
      <c r="C29" s="11" t="s">
        <v>84</v>
      </c>
      <c r="D29" s="10" t="s">
        <v>85</v>
      </c>
      <c r="E29" s="58" t="s">
        <v>525</v>
      </c>
      <c r="F29" s="62">
        <f t="shared" si="0"/>
        <v>0</v>
      </c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</row>
    <row r="30" spans="1:37" x14ac:dyDescent="0.4">
      <c r="A30" s="3">
        <v>26</v>
      </c>
      <c r="B30" s="307"/>
      <c r="C30" s="11" t="s">
        <v>86</v>
      </c>
      <c r="D30" s="10" t="s">
        <v>87</v>
      </c>
      <c r="E30" s="58" t="s">
        <v>525</v>
      </c>
      <c r="F30" s="62">
        <f t="shared" si="0"/>
        <v>0</v>
      </c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</row>
    <row r="31" spans="1:37" x14ac:dyDescent="0.4">
      <c r="A31" s="3">
        <v>27</v>
      </c>
      <c r="B31" s="307"/>
      <c r="C31" s="11" t="s">
        <v>88</v>
      </c>
      <c r="D31" s="10" t="s">
        <v>89</v>
      </c>
      <c r="E31" s="58" t="s">
        <v>525</v>
      </c>
      <c r="F31" s="62">
        <f t="shared" si="0"/>
        <v>0</v>
      </c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</row>
    <row r="32" spans="1:37" x14ac:dyDescent="0.4">
      <c r="A32" s="3">
        <v>28</v>
      </c>
      <c r="B32" s="308"/>
      <c r="C32" s="11" t="s">
        <v>90</v>
      </c>
      <c r="D32" s="10" t="s">
        <v>91</v>
      </c>
      <c r="E32" s="58" t="s">
        <v>525</v>
      </c>
      <c r="F32" s="62">
        <f t="shared" si="0"/>
        <v>0</v>
      </c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</row>
    <row r="33" spans="1:37" x14ac:dyDescent="0.4">
      <c r="A33" s="3">
        <v>29</v>
      </c>
      <c r="B33" s="9" t="s">
        <v>92</v>
      </c>
      <c r="C33" s="9" t="s">
        <v>93</v>
      </c>
      <c r="D33" s="10" t="s">
        <v>94</v>
      </c>
      <c r="E33" s="58" t="s">
        <v>525</v>
      </c>
      <c r="F33" s="62">
        <f t="shared" si="0"/>
        <v>0</v>
      </c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</row>
    <row r="34" spans="1:37" x14ac:dyDescent="0.4">
      <c r="A34" s="3">
        <v>30</v>
      </c>
      <c r="B34" s="306" t="s">
        <v>95</v>
      </c>
      <c r="C34" s="9" t="s">
        <v>96</v>
      </c>
      <c r="D34" s="10" t="s">
        <v>97</v>
      </c>
      <c r="E34" s="58" t="s">
        <v>525</v>
      </c>
      <c r="F34" s="62">
        <f t="shared" si="0"/>
        <v>0</v>
      </c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</row>
    <row r="35" spans="1:37" x14ac:dyDescent="0.4">
      <c r="A35" s="3">
        <v>31</v>
      </c>
      <c r="B35" s="307"/>
      <c r="C35" s="11" t="s">
        <v>98</v>
      </c>
      <c r="D35" s="10" t="s">
        <v>99</v>
      </c>
      <c r="E35" s="58" t="s">
        <v>525</v>
      </c>
      <c r="F35" s="62">
        <f t="shared" si="0"/>
        <v>0</v>
      </c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</row>
    <row r="36" spans="1:37" x14ac:dyDescent="0.4">
      <c r="A36" s="3">
        <v>32</v>
      </c>
      <c r="B36" s="307"/>
      <c r="C36" s="11" t="s">
        <v>100</v>
      </c>
      <c r="D36" s="10" t="s">
        <v>101</v>
      </c>
      <c r="E36" s="58" t="s">
        <v>525</v>
      </c>
      <c r="F36" s="62">
        <f t="shared" si="0"/>
        <v>0</v>
      </c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</row>
    <row r="37" spans="1:37" x14ac:dyDescent="0.4">
      <c r="A37" s="3">
        <v>33</v>
      </c>
      <c r="B37" s="307"/>
      <c r="C37" s="11" t="s">
        <v>102</v>
      </c>
      <c r="D37" s="10" t="s">
        <v>103</v>
      </c>
      <c r="E37" s="58" t="s">
        <v>525</v>
      </c>
      <c r="F37" s="62">
        <f t="shared" si="0"/>
        <v>0</v>
      </c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</row>
    <row r="38" spans="1:37" x14ac:dyDescent="0.4">
      <c r="A38" s="3">
        <v>34</v>
      </c>
      <c r="B38" s="306" t="s">
        <v>104</v>
      </c>
      <c r="C38" s="9" t="s">
        <v>105</v>
      </c>
      <c r="D38" s="10" t="s">
        <v>106</v>
      </c>
      <c r="E38" s="58" t="s">
        <v>525</v>
      </c>
      <c r="F38" s="62">
        <f t="shared" si="0"/>
        <v>0</v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</row>
    <row r="39" spans="1:37" x14ac:dyDescent="0.4">
      <c r="A39" s="3">
        <v>35</v>
      </c>
      <c r="B39" s="307"/>
      <c r="C39" s="11" t="s">
        <v>107</v>
      </c>
      <c r="D39" s="10" t="s">
        <v>108</v>
      </c>
      <c r="E39" s="58" t="s">
        <v>525</v>
      </c>
      <c r="F39" s="62">
        <f t="shared" si="0"/>
        <v>0</v>
      </c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</row>
    <row r="40" spans="1:37" x14ac:dyDescent="0.4">
      <c r="A40" s="3">
        <v>36</v>
      </c>
      <c r="B40" s="307"/>
      <c r="C40" s="11" t="s">
        <v>109</v>
      </c>
      <c r="D40" s="10" t="s">
        <v>110</v>
      </c>
      <c r="E40" s="58" t="s">
        <v>525</v>
      </c>
      <c r="F40" s="62">
        <f t="shared" si="0"/>
        <v>0</v>
      </c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</row>
    <row r="41" spans="1:37" x14ac:dyDescent="0.4">
      <c r="A41" s="3">
        <v>37</v>
      </c>
      <c r="B41" s="308"/>
      <c r="C41" s="11" t="s">
        <v>111</v>
      </c>
      <c r="D41" s="10" t="s">
        <v>112</v>
      </c>
      <c r="E41" s="58" t="s">
        <v>525</v>
      </c>
      <c r="F41" s="62">
        <f t="shared" si="0"/>
        <v>0</v>
      </c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</row>
    <row r="42" spans="1:37" x14ac:dyDescent="0.4">
      <c r="A42" s="3">
        <v>38</v>
      </c>
      <c r="B42" s="306" t="s">
        <v>113</v>
      </c>
      <c r="C42" s="9" t="s">
        <v>114</v>
      </c>
      <c r="D42" s="10" t="s">
        <v>115</v>
      </c>
      <c r="E42" s="58" t="s">
        <v>525</v>
      </c>
      <c r="F42" s="62">
        <f t="shared" si="0"/>
        <v>0</v>
      </c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</row>
    <row r="43" spans="1:37" x14ac:dyDescent="0.4">
      <c r="A43" s="3">
        <v>39</v>
      </c>
      <c r="B43" s="309"/>
      <c r="C43" s="11" t="s">
        <v>116</v>
      </c>
      <c r="D43" s="10" t="s">
        <v>117</v>
      </c>
      <c r="E43" s="58" t="s">
        <v>525</v>
      </c>
      <c r="F43" s="62">
        <f t="shared" si="0"/>
        <v>0</v>
      </c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</row>
    <row r="44" spans="1:37" x14ac:dyDescent="0.4">
      <c r="A44" s="3">
        <v>40</v>
      </c>
      <c r="B44" s="309"/>
      <c r="C44" s="11" t="s">
        <v>118</v>
      </c>
      <c r="D44" s="10" t="s">
        <v>119</v>
      </c>
      <c r="E44" s="58" t="s">
        <v>525</v>
      </c>
      <c r="F44" s="62">
        <f t="shared" si="0"/>
        <v>0</v>
      </c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</row>
    <row r="45" spans="1:37" x14ac:dyDescent="0.4">
      <c r="A45" s="3">
        <v>41</v>
      </c>
      <c r="B45" s="310"/>
      <c r="C45" s="11" t="s">
        <v>120</v>
      </c>
      <c r="D45" s="10" t="s">
        <v>121</v>
      </c>
      <c r="E45" s="58" t="s">
        <v>525</v>
      </c>
      <c r="F45" s="62">
        <f t="shared" si="0"/>
        <v>0</v>
      </c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</row>
    <row r="46" spans="1:37" x14ac:dyDescent="0.4">
      <c r="A46" s="3">
        <v>42</v>
      </c>
      <c r="B46" s="306" t="s">
        <v>122</v>
      </c>
      <c r="C46" s="9" t="s">
        <v>123</v>
      </c>
      <c r="D46" s="10" t="s">
        <v>124</v>
      </c>
      <c r="E46" s="58" t="s">
        <v>525</v>
      </c>
      <c r="F46" s="62">
        <f t="shared" si="0"/>
        <v>0</v>
      </c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</row>
    <row r="47" spans="1:37" x14ac:dyDescent="0.4">
      <c r="A47" s="3">
        <v>43</v>
      </c>
      <c r="B47" s="308"/>
      <c r="C47" s="9" t="s">
        <v>125</v>
      </c>
      <c r="D47" s="10" t="s">
        <v>124</v>
      </c>
      <c r="E47" s="58" t="s">
        <v>525</v>
      </c>
      <c r="F47" s="62">
        <f t="shared" si="0"/>
        <v>0</v>
      </c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</row>
    <row r="48" spans="1:37" x14ac:dyDescent="0.4">
      <c r="A48" s="3">
        <v>44</v>
      </c>
      <c r="B48" s="330" t="s">
        <v>126</v>
      </c>
      <c r="C48" s="12"/>
      <c r="D48" s="12" t="s">
        <v>127</v>
      </c>
      <c r="E48" s="59" t="s">
        <v>526</v>
      </c>
      <c r="F48" s="62">
        <f t="shared" si="0"/>
        <v>0</v>
      </c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</row>
    <row r="49" spans="1:37" x14ac:dyDescent="0.4">
      <c r="A49" s="3">
        <v>45</v>
      </c>
      <c r="B49" s="331"/>
      <c r="C49" s="13" t="s">
        <v>595</v>
      </c>
      <c r="D49" s="12" t="s">
        <v>129</v>
      </c>
      <c r="E49" s="59" t="s">
        <v>526</v>
      </c>
      <c r="F49" s="62">
        <f t="shared" si="0"/>
        <v>0</v>
      </c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</row>
    <row r="50" spans="1:37" x14ac:dyDescent="0.4">
      <c r="A50" s="3">
        <v>46</v>
      </c>
      <c r="B50" s="332" t="s">
        <v>130</v>
      </c>
      <c r="C50" s="14" t="s">
        <v>131</v>
      </c>
      <c r="D50" s="15" t="s">
        <v>132</v>
      </c>
      <c r="E50" s="60" t="s">
        <v>526</v>
      </c>
      <c r="F50" s="62">
        <f t="shared" si="0"/>
        <v>0</v>
      </c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</row>
    <row r="51" spans="1:37" x14ac:dyDescent="0.4">
      <c r="A51" s="3">
        <v>47</v>
      </c>
      <c r="B51" s="333"/>
      <c r="C51" s="14" t="s">
        <v>133</v>
      </c>
      <c r="D51" s="16" t="s">
        <v>134</v>
      </c>
      <c r="E51" s="60" t="s">
        <v>527</v>
      </c>
      <c r="F51" s="62">
        <f t="shared" si="0"/>
        <v>0</v>
      </c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</row>
    <row r="52" spans="1:37" x14ac:dyDescent="0.4">
      <c r="A52" s="3">
        <v>48</v>
      </c>
      <c r="B52" s="333"/>
      <c r="C52" s="14" t="s">
        <v>135</v>
      </c>
      <c r="D52" s="16" t="s">
        <v>136</v>
      </c>
      <c r="E52" s="60" t="s">
        <v>526</v>
      </c>
      <c r="F52" s="62">
        <f t="shared" si="0"/>
        <v>0</v>
      </c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</row>
    <row r="53" spans="1:37" x14ac:dyDescent="0.4">
      <c r="A53" s="3">
        <v>49</v>
      </c>
      <c r="B53" s="333"/>
      <c r="C53" s="14" t="s">
        <v>135</v>
      </c>
      <c r="D53" s="16">
        <v>11495</v>
      </c>
      <c r="E53" s="60" t="s">
        <v>526</v>
      </c>
      <c r="F53" s="62">
        <f t="shared" si="0"/>
        <v>0</v>
      </c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</row>
    <row r="54" spans="1:37" x14ac:dyDescent="0.4">
      <c r="A54" s="3">
        <v>50</v>
      </c>
      <c r="B54" s="333"/>
      <c r="C54" s="14" t="s">
        <v>135</v>
      </c>
      <c r="D54" s="16" t="s">
        <v>137</v>
      </c>
      <c r="E54" s="60" t="s">
        <v>526</v>
      </c>
      <c r="F54" s="62">
        <f t="shared" si="0"/>
        <v>0</v>
      </c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</row>
    <row r="55" spans="1:37" x14ac:dyDescent="0.4">
      <c r="A55" s="3">
        <v>51</v>
      </c>
      <c r="B55" s="334"/>
      <c r="C55" s="14" t="s">
        <v>135</v>
      </c>
      <c r="D55" s="16" t="s">
        <v>138</v>
      </c>
      <c r="E55" s="60" t="s">
        <v>526</v>
      </c>
      <c r="F55" s="62">
        <f t="shared" si="0"/>
        <v>0</v>
      </c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</row>
    <row r="56" spans="1:37" x14ac:dyDescent="0.4">
      <c r="A56" s="3">
        <v>52</v>
      </c>
      <c r="B56" s="332" t="s">
        <v>139</v>
      </c>
      <c r="C56" s="14" t="s">
        <v>131</v>
      </c>
      <c r="D56" s="16" t="s">
        <v>140</v>
      </c>
      <c r="E56" s="60" t="s">
        <v>526</v>
      </c>
      <c r="F56" s="62">
        <f t="shared" si="0"/>
        <v>0</v>
      </c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</row>
    <row r="57" spans="1:37" x14ac:dyDescent="0.4">
      <c r="A57" s="3">
        <v>53</v>
      </c>
      <c r="B57" s="333"/>
      <c r="C57" s="14" t="s">
        <v>133</v>
      </c>
      <c r="D57" s="16" t="s">
        <v>141</v>
      </c>
      <c r="E57" s="60" t="s">
        <v>527</v>
      </c>
      <c r="F57" s="62">
        <f t="shared" si="0"/>
        <v>0</v>
      </c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</row>
    <row r="58" spans="1:37" x14ac:dyDescent="0.4">
      <c r="A58" s="3">
        <v>54</v>
      </c>
      <c r="B58" s="333"/>
      <c r="C58" s="14" t="s">
        <v>133</v>
      </c>
      <c r="D58" s="16" t="s">
        <v>142</v>
      </c>
      <c r="E58" s="60" t="s">
        <v>527</v>
      </c>
      <c r="F58" s="62">
        <f t="shared" si="0"/>
        <v>0</v>
      </c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</row>
    <row r="59" spans="1:37" x14ac:dyDescent="0.4">
      <c r="A59" s="3">
        <v>55</v>
      </c>
      <c r="B59" s="333"/>
      <c r="C59" s="14" t="s">
        <v>133</v>
      </c>
      <c r="D59" s="16" t="s">
        <v>143</v>
      </c>
      <c r="E59" s="60" t="s">
        <v>527</v>
      </c>
      <c r="F59" s="62">
        <f t="shared" si="0"/>
        <v>0</v>
      </c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</row>
    <row r="60" spans="1:37" x14ac:dyDescent="0.4">
      <c r="A60" s="3">
        <v>56</v>
      </c>
      <c r="B60" s="334"/>
      <c r="C60" s="14" t="s">
        <v>135</v>
      </c>
      <c r="D60" s="16" t="s">
        <v>144</v>
      </c>
      <c r="E60" s="60" t="s">
        <v>526</v>
      </c>
      <c r="F60" s="62">
        <f t="shared" si="0"/>
        <v>0</v>
      </c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</row>
    <row r="61" spans="1:37" x14ac:dyDescent="0.4">
      <c r="A61" s="3">
        <v>57</v>
      </c>
      <c r="B61" s="317" t="s">
        <v>145</v>
      </c>
      <c r="C61" s="14" t="s">
        <v>146</v>
      </c>
      <c r="D61" s="16" t="s">
        <v>147</v>
      </c>
      <c r="E61" s="60" t="s">
        <v>526</v>
      </c>
      <c r="F61" s="62">
        <f t="shared" si="0"/>
        <v>0</v>
      </c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</row>
    <row r="62" spans="1:37" x14ac:dyDescent="0.4">
      <c r="A62" s="3">
        <v>58</v>
      </c>
      <c r="B62" s="318"/>
      <c r="C62" s="14" t="s">
        <v>135</v>
      </c>
      <c r="D62" s="16" t="s">
        <v>148</v>
      </c>
      <c r="E62" s="60" t="s">
        <v>526</v>
      </c>
      <c r="F62" s="62">
        <f t="shared" si="0"/>
        <v>0</v>
      </c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</row>
    <row r="63" spans="1:37" x14ac:dyDescent="0.4">
      <c r="A63" s="3">
        <v>59</v>
      </c>
      <c r="B63" s="318"/>
      <c r="C63" s="14" t="s">
        <v>135</v>
      </c>
      <c r="D63" s="16" t="s">
        <v>149</v>
      </c>
      <c r="E63" s="60" t="s">
        <v>526</v>
      </c>
      <c r="F63" s="62">
        <f t="shared" si="0"/>
        <v>0</v>
      </c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</row>
    <row r="64" spans="1:37" x14ac:dyDescent="0.4">
      <c r="A64" s="3">
        <v>60</v>
      </c>
      <c r="B64" s="318"/>
      <c r="C64" s="14" t="s">
        <v>135</v>
      </c>
      <c r="D64" s="16" t="s">
        <v>150</v>
      </c>
      <c r="E64" s="60" t="s">
        <v>526</v>
      </c>
      <c r="F64" s="62">
        <f t="shared" si="0"/>
        <v>0</v>
      </c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</row>
    <row r="65" spans="1:37" x14ac:dyDescent="0.4">
      <c r="A65" s="3">
        <v>61</v>
      </c>
      <c r="B65" s="319"/>
      <c r="C65" s="14" t="s">
        <v>135</v>
      </c>
      <c r="D65" s="16" t="s">
        <v>151</v>
      </c>
      <c r="E65" s="60" t="s">
        <v>526</v>
      </c>
      <c r="F65" s="62">
        <f t="shared" si="0"/>
        <v>0</v>
      </c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</row>
    <row r="66" spans="1:37" x14ac:dyDescent="0.4">
      <c r="A66" s="3">
        <v>62</v>
      </c>
      <c r="B66" s="317" t="s">
        <v>152</v>
      </c>
      <c r="C66" s="14" t="s">
        <v>131</v>
      </c>
      <c r="D66" s="16" t="s">
        <v>153</v>
      </c>
      <c r="E66" s="60" t="s">
        <v>526</v>
      </c>
      <c r="F66" s="62">
        <f t="shared" si="0"/>
        <v>0</v>
      </c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</row>
    <row r="67" spans="1:37" x14ac:dyDescent="0.4">
      <c r="A67" s="3">
        <v>63</v>
      </c>
      <c r="B67" s="318"/>
      <c r="C67" s="14" t="s">
        <v>131</v>
      </c>
      <c r="D67" s="16" t="s">
        <v>154</v>
      </c>
      <c r="E67" s="60" t="s">
        <v>526</v>
      </c>
      <c r="F67" s="62">
        <f t="shared" si="0"/>
        <v>0</v>
      </c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</row>
    <row r="68" spans="1:37" x14ac:dyDescent="0.4">
      <c r="A68" s="3">
        <v>64</v>
      </c>
      <c r="B68" s="318"/>
      <c r="C68" s="14" t="s">
        <v>133</v>
      </c>
      <c r="D68" s="16" t="s">
        <v>155</v>
      </c>
      <c r="E68" s="60" t="s">
        <v>527</v>
      </c>
      <c r="F68" s="62">
        <f t="shared" si="0"/>
        <v>0</v>
      </c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</row>
    <row r="69" spans="1:37" x14ac:dyDescent="0.4">
      <c r="A69" s="3">
        <v>65</v>
      </c>
      <c r="B69" s="318"/>
      <c r="C69" s="14" t="s">
        <v>133</v>
      </c>
      <c r="D69" s="16" t="s">
        <v>156</v>
      </c>
      <c r="E69" s="60" t="s">
        <v>527</v>
      </c>
      <c r="F69" s="62">
        <f t="shared" si="0"/>
        <v>0</v>
      </c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</row>
    <row r="70" spans="1:37" x14ac:dyDescent="0.4">
      <c r="A70" s="3">
        <v>66</v>
      </c>
      <c r="B70" s="318"/>
      <c r="C70" s="14" t="s">
        <v>133</v>
      </c>
      <c r="D70" s="16" t="s">
        <v>157</v>
      </c>
      <c r="E70" s="60" t="s">
        <v>527</v>
      </c>
      <c r="F70" s="62">
        <f t="shared" ref="F70:F88" si="1">SUM(G70:AK133)</f>
        <v>0</v>
      </c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</row>
    <row r="71" spans="1:37" x14ac:dyDescent="0.4">
      <c r="A71" s="3">
        <v>67</v>
      </c>
      <c r="B71" s="318"/>
      <c r="C71" s="14" t="s">
        <v>133</v>
      </c>
      <c r="D71" s="16">
        <v>11301</v>
      </c>
      <c r="E71" s="60" t="s">
        <v>527</v>
      </c>
      <c r="F71" s="62">
        <f t="shared" si="1"/>
        <v>0</v>
      </c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</row>
    <row r="72" spans="1:37" x14ac:dyDescent="0.4">
      <c r="A72" s="3">
        <v>68</v>
      </c>
      <c r="B72" s="318"/>
      <c r="C72" s="14" t="s">
        <v>133</v>
      </c>
      <c r="D72" s="16">
        <v>51238</v>
      </c>
      <c r="E72" s="60" t="s">
        <v>527</v>
      </c>
      <c r="F72" s="62">
        <f t="shared" si="1"/>
        <v>0</v>
      </c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</row>
    <row r="73" spans="1:37" x14ac:dyDescent="0.4">
      <c r="A73" s="3">
        <v>69</v>
      </c>
      <c r="B73" s="318"/>
      <c r="C73" s="14" t="s">
        <v>133</v>
      </c>
      <c r="D73" s="16" t="s">
        <v>158</v>
      </c>
      <c r="E73" s="60" t="s">
        <v>527</v>
      </c>
      <c r="F73" s="62">
        <f t="shared" si="1"/>
        <v>0</v>
      </c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</row>
    <row r="74" spans="1:37" x14ac:dyDescent="0.4">
      <c r="A74" s="3">
        <v>70</v>
      </c>
      <c r="B74" s="318"/>
      <c r="C74" s="14" t="s">
        <v>133</v>
      </c>
      <c r="D74" s="16" t="s">
        <v>159</v>
      </c>
      <c r="E74" s="60" t="s">
        <v>527</v>
      </c>
      <c r="F74" s="62">
        <f t="shared" si="1"/>
        <v>0</v>
      </c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</row>
    <row r="75" spans="1:37" x14ac:dyDescent="0.4">
      <c r="A75" s="3">
        <v>71</v>
      </c>
      <c r="B75" s="319"/>
      <c r="C75" s="14" t="s">
        <v>133</v>
      </c>
      <c r="D75" s="16" t="s">
        <v>160</v>
      </c>
      <c r="E75" s="60" t="s">
        <v>527</v>
      </c>
      <c r="F75" s="62">
        <f t="shared" si="1"/>
        <v>0</v>
      </c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</row>
    <row r="76" spans="1:37" x14ac:dyDescent="0.4">
      <c r="A76" s="3">
        <v>72</v>
      </c>
      <c r="B76" s="317" t="s">
        <v>161</v>
      </c>
      <c r="C76" s="14"/>
      <c r="D76" s="16" t="s">
        <v>162</v>
      </c>
      <c r="E76" s="60" t="s">
        <v>526</v>
      </c>
      <c r="F76" s="62">
        <f t="shared" si="1"/>
        <v>0</v>
      </c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</row>
    <row r="77" spans="1:37" x14ac:dyDescent="0.4">
      <c r="A77" s="3">
        <v>73</v>
      </c>
      <c r="B77" s="318"/>
      <c r="C77" s="14" t="s">
        <v>133</v>
      </c>
      <c r="D77" s="16" t="s">
        <v>163</v>
      </c>
      <c r="E77" s="60" t="s">
        <v>527</v>
      </c>
      <c r="F77" s="62">
        <f t="shared" si="1"/>
        <v>0</v>
      </c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</row>
    <row r="78" spans="1:37" x14ac:dyDescent="0.4">
      <c r="A78" s="3">
        <v>74</v>
      </c>
      <c r="B78" s="319"/>
      <c r="C78" s="14"/>
      <c r="D78" s="16" t="s">
        <v>164</v>
      </c>
      <c r="E78" s="60" t="s">
        <v>526</v>
      </c>
      <c r="F78" s="62">
        <f t="shared" si="1"/>
        <v>0</v>
      </c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</row>
    <row r="79" spans="1:37" x14ac:dyDescent="0.4">
      <c r="A79" s="3">
        <v>75</v>
      </c>
      <c r="B79" s="317" t="s">
        <v>165</v>
      </c>
      <c r="C79" s="14" t="s">
        <v>133</v>
      </c>
      <c r="D79" s="16" t="s">
        <v>166</v>
      </c>
      <c r="E79" s="60" t="s">
        <v>527</v>
      </c>
      <c r="F79" s="62">
        <f t="shared" si="1"/>
        <v>0</v>
      </c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</row>
    <row r="80" spans="1:37" x14ac:dyDescent="0.4">
      <c r="A80" s="3">
        <v>76</v>
      </c>
      <c r="B80" s="318"/>
      <c r="C80" s="14" t="s">
        <v>133</v>
      </c>
      <c r="D80" s="16" t="s">
        <v>167</v>
      </c>
      <c r="E80" s="60" t="s">
        <v>527</v>
      </c>
      <c r="F80" s="62">
        <f t="shared" si="1"/>
        <v>0</v>
      </c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</row>
    <row r="81" spans="1:37" x14ac:dyDescent="0.4">
      <c r="A81" s="3">
        <v>77</v>
      </c>
      <c r="B81" s="318"/>
      <c r="C81" s="14" t="s">
        <v>133</v>
      </c>
      <c r="D81" s="16" t="s">
        <v>168</v>
      </c>
      <c r="E81" s="60" t="s">
        <v>527</v>
      </c>
      <c r="F81" s="62">
        <f t="shared" si="1"/>
        <v>0</v>
      </c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</row>
    <row r="82" spans="1:37" x14ac:dyDescent="0.4">
      <c r="A82" s="3">
        <v>78</v>
      </c>
      <c r="B82" s="318"/>
      <c r="C82" s="14" t="s">
        <v>133</v>
      </c>
      <c r="D82" s="16" t="s">
        <v>169</v>
      </c>
      <c r="E82" s="60" t="s">
        <v>527</v>
      </c>
      <c r="F82" s="62">
        <f t="shared" si="1"/>
        <v>0</v>
      </c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</row>
    <row r="83" spans="1:37" x14ac:dyDescent="0.4">
      <c r="A83" s="3">
        <v>79</v>
      </c>
      <c r="B83" s="318"/>
      <c r="C83" s="14" t="s">
        <v>133</v>
      </c>
      <c r="D83" s="16" t="s">
        <v>170</v>
      </c>
      <c r="E83" s="60" t="s">
        <v>527</v>
      </c>
      <c r="F83" s="62">
        <f t="shared" si="1"/>
        <v>0</v>
      </c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</row>
    <row r="84" spans="1:37" x14ac:dyDescent="0.4">
      <c r="A84" s="3">
        <v>80</v>
      </c>
      <c r="B84" s="17"/>
      <c r="C84" s="14"/>
      <c r="D84" s="18" t="s">
        <v>171</v>
      </c>
      <c r="E84" s="60" t="s">
        <v>526</v>
      </c>
      <c r="F84" s="62">
        <f t="shared" si="1"/>
        <v>0</v>
      </c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</row>
    <row r="85" spans="1:37" x14ac:dyDescent="0.4">
      <c r="A85" s="3">
        <v>81</v>
      </c>
      <c r="B85" s="17"/>
      <c r="C85" s="14"/>
      <c r="D85" s="18" t="s">
        <v>172</v>
      </c>
      <c r="E85" s="60" t="s">
        <v>526</v>
      </c>
      <c r="F85" s="62">
        <f t="shared" si="1"/>
        <v>0</v>
      </c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</row>
    <row r="86" spans="1:37" x14ac:dyDescent="0.4">
      <c r="A86" s="3">
        <v>82</v>
      </c>
      <c r="B86" s="17"/>
      <c r="C86" s="14"/>
      <c r="D86" s="18" t="s">
        <v>173</v>
      </c>
      <c r="E86" s="60" t="s">
        <v>526</v>
      </c>
      <c r="F86" s="62">
        <f t="shared" si="1"/>
        <v>0</v>
      </c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</row>
    <row r="87" spans="1:37" x14ac:dyDescent="0.4">
      <c r="A87" s="3">
        <v>83</v>
      </c>
      <c r="B87" s="19"/>
      <c r="C87" s="19"/>
      <c r="D87" s="20" t="s">
        <v>174</v>
      </c>
      <c r="E87" s="60" t="s">
        <v>526</v>
      </c>
      <c r="F87" s="62">
        <f t="shared" si="1"/>
        <v>0</v>
      </c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</row>
    <row r="88" spans="1:37" x14ac:dyDescent="0.4">
      <c r="A88" s="3">
        <v>84</v>
      </c>
      <c r="B88" s="17"/>
      <c r="C88" s="14"/>
      <c r="D88" s="18" t="s">
        <v>175</v>
      </c>
      <c r="E88" s="60" t="s">
        <v>526</v>
      </c>
      <c r="F88" s="62">
        <f t="shared" si="1"/>
        <v>0</v>
      </c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</row>
    <row r="89" spans="1:37" ht="31.8" x14ac:dyDescent="0.5">
      <c r="A89" s="327" t="s">
        <v>176</v>
      </c>
      <c r="B89" s="328"/>
      <c r="C89" s="328"/>
      <c r="D89" s="328"/>
      <c r="E89" s="328"/>
      <c r="F89" s="328"/>
      <c r="G89" s="328"/>
      <c r="H89" s="328"/>
      <c r="I89" s="328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  <c r="U89" s="328"/>
      <c r="V89" s="328"/>
      <c r="W89" s="328"/>
      <c r="X89" s="328"/>
      <c r="Y89" s="328"/>
      <c r="Z89" s="328"/>
      <c r="AA89" s="328"/>
      <c r="AB89" s="328"/>
      <c r="AC89" s="328"/>
      <c r="AD89" s="328"/>
      <c r="AE89" s="328"/>
      <c r="AF89" s="328"/>
      <c r="AG89" s="328"/>
      <c r="AH89" s="328"/>
      <c r="AI89" s="328"/>
      <c r="AJ89" s="328"/>
      <c r="AK89" s="329"/>
    </row>
    <row r="90" spans="1:37" ht="20.399999999999999" x14ac:dyDescent="0.4">
      <c r="A90" s="3">
        <v>1</v>
      </c>
      <c r="B90" s="306" t="s">
        <v>177</v>
      </c>
      <c r="C90" s="61" t="s">
        <v>178</v>
      </c>
      <c r="D90" s="5" t="s">
        <v>179</v>
      </c>
      <c r="E90" s="45" t="s">
        <v>525</v>
      </c>
      <c r="F90" s="62">
        <f>SUM(G90:AK90)</f>
        <v>0</v>
      </c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</row>
    <row r="91" spans="1:37" x14ac:dyDescent="0.4">
      <c r="A91" s="3">
        <v>2</v>
      </c>
      <c r="B91" s="307"/>
      <c r="C91" s="23" t="s">
        <v>180</v>
      </c>
      <c r="D91" s="6" t="s">
        <v>181</v>
      </c>
      <c r="E91" s="50" t="s">
        <v>525</v>
      </c>
      <c r="F91" s="62">
        <f t="shared" ref="F91:F154" si="2">SUM(G91:AK91)</f>
        <v>0</v>
      </c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</row>
    <row r="92" spans="1:37" x14ac:dyDescent="0.4">
      <c r="A92" s="3">
        <v>3</v>
      </c>
      <c r="B92" s="307"/>
      <c r="C92" s="23" t="s">
        <v>182</v>
      </c>
      <c r="D92" s="7" t="s">
        <v>183</v>
      </c>
      <c r="E92" s="50" t="s">
        <v>525</v>
      </c>
      <c r="F92" s="62">
        <f t="shared" si="2"/>
        <v>0</v>
      </c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</row>
    <row r="93" spans="1:37" x14ac:dyDescent="0.4">
      <c r="A93" s="3">
        <v>4</v>
      </c>
      <c r="B93" s="308"/>
      <c r="C93" s="23" t="s">
        <v>184</v>
      </c>
      <c r="D93" s="8" t="s">
        <v>185</v>
      </c>
      <c r="E93" s="50" t="s">
        <v>525</v>
      </c>
      <c r="F93" s="62">
        <f t="shared" si="2"/>
        <v>0</v>
      </c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</row>
    <row r="94" spans="1:37" x14ac:dyDescent="0.4">
      <c r="A94" s="3">
        <v>5</v>
      </c>
      <c r="B94" s="306" t="s">
        <v>186</v>
      </c>
      <c r="C94" s="23" t="s">
        <v>187</v>
      </c>
      <c r="D94" s="22" t="s">
        <v>179</v>
      </c>
      <c r="E94" s="50" t="s">
        <v>525</v>
      </c>
      <c r="F94" s="62">
        <f t="shared" si="2"/>
        <v>0</v>
      </c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</row>
    <row r="95" spans="1:37" x14ac:dyDescent="0.4">
      <c r="A95" s="3">
        <v>6</v>
      </c>
      <c r="B95" s="307"/>
      <c r="C95" s="23" t="s">
        <v>188</v>
      </c>
      <c r="D95" s="6" t="s">
        <v>181</v>
      </c>
      <c r="E95" s="50" t="s">
        <v>525</v>
      </c>
      <c r="F95" s="62">
        <f t="shared" si="2"/>
        <v>0</v>
      </c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</row>
    <row r="96" spans="1:37" x14ac:dyDescent="0.4">
      <c r="A96" s="3">
        <v>7</v>
      </c>
      <c r="B96" s="307"/>
      <c r="C96" s="23" t="s">
        <v>189</v>
      </c>
      <c r="D96" s="7" t="s">
        <v>190</v>
      </c>
      <c r="E96" s="50" t="s">
        <v>525</v>
      </c>
      <c r="F96" s="62">
        <f t="shared" si="2"/>
        <v>0</v>
      </c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</row>
    <row r="97" spans="1:37" x14ac:dyDescent="0.4">
      <c r="A97" s="3">
        <v>8</v>
      </c>
      <c r="B97" s="307"/>
      <c r="C97" s="23" t="s">
        <v>191</v>
      </c>
      <c r="D97" s="7" t="s">
        <v>183</v>
      </c>
      <c r="E97" s="50" t="s">
        <v>525</v>
      </c>
      <c r="F97" s="62">
        <f t="shared" si="2"/>
        <v>0</v>
      </c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</row>
    <row r="98" spans="1:37" x14ac:dyDescent="0.4">
      <c r="A98" s="3">
        <v>9</v>
      </c>
      <c r="B98" s="308"/>
      <c r="C98" s="23" t="s">
        <v>192</v>
      </c>
      <c r="D98" s="8" t="s">
        <v>185</v>
      </c>
      <c r="E98" s="50" t="s">
        <v>525</v>
      </c>
      <c r="F98" s="62">
        <f t="shared" si="2"/>
        <v>0</v>
      </c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</row>
    <row r="99" spans="1:37" x14ac:dyDescent="0.4">
      <c r="A99" s="3">
        <v>10</v>
      </c>
      <c r="B99" s="306" t="s">
        <v>193</v>
      </c>
      <c r="C99" s="23" t="s">
        <v>194</v>
      </c>
      <c r="D99" s="22" t="s">
        <v>179</v>
      </c>
      <c r="E99" s="50" t="s">
        <v>525</v>
      </c>
      <c r="F99" s="62">
        <f t="shared" si="2"/>
        <v>0</v>
      </c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</row>
    <row r="100" spans="1:37" x14ac:dyDescent="0.4">
      <c r="A100" s="3">
        <v>11</v>
      </c>
      <c r="B100" s="308"/>
      <c r="C100" s="23" t="s">
        <v>195</v>
      </c>
      <c r="D100" s="6" t="s">
        <v>181</v>
      </c>
      <c r="E100" s="50" t="s">
        <v>525</v>
      </c>
      <c r="F100" s="62">
        <f t="shared" si="2"/>
        <v>0</v>
      </c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</row>
    <row r="101" spans="1:37" x14ac:dyDescent="0.4">
      <c r="A101" s="3">
        <v>12</v>
      </c>
      <c r="B101" s="335" t="s">
        <v>196</v>
      </c>
      <c r="C101" s="24" t="s">
        <v>197</v>
      </c>
      <c r="D101" s="25" t="s">
        <v>198</v>
      </c>
      <c r="E101" s="50" t="s">
        <v>525</v>
      </c>
      <c r="F101" s="62">
        <f t="shared" si="2"/>
        <v>0</v>
      </c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</row>
    <row r="102" spans="1:37" x14ac:dyDescent="0.4">
      <c r="A102" s="3">
        <v>13</v>
      </c>
      <c r="B102" s="336"/>
      <c r="C102" s="24" t="s">
        <v>199</v>
      </c>
      <c r="D102" s="25" t="s">
        <v>200</v>
      </c>
      <c r="E102" s="50" t="s">
        <v>525</v>
      </c>
      <c r="F102" s="62">
        <f t="shared" si="2"/>
        <v>0</v>
      </c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</row>
    <row r="103" spans="1:37" x14ac:dyDescent="0.4">
      <c r="A103" s="3">
        <v>14</v>
      </c>
      <c r="B103" s="336"/>
      <c r="C103" s="26" t="s">
        <v>201</v>
      </c>
      <c r="D103" s="27" t="s">
        <v>202</v>
      </c>
      <c r="E103" s="53" t="s">
        <v>525</v>
      </c>
      <c r="F103" s="62">
        <f t="shared" si="2"/>
        <v>0</v>
      </c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</row>
    <row r="104" spans="1:37" x14ac:dyDescent="0.4">
      <c r="A104" s="3">
        <v>15</v>
      </c>
      <c r="B104" s="336"/>
      <c r="C104" s="28" t="s">
        <v>203</v>
      </c>
      <c r="D104" s="29" t="s">
        <v>204</v>
      </c>
      <c r="E104" s="50" t="s">
        <v>525</v>
      </c>
      <c r="F104" s="62">
        <f t="shared" si="2"/>
        <v>0</v>
      </c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</row>
    <row r="105" spans="1:37" x14ac:dyDescent="0.4">
      <c r="A105" s="3">
        <v>16</v>
      </c>
      <c r="B105" s="336"/>
      <c r="C105" s="28" t="s">
        <v>205</v>
      </c>
      <c r="D105" s="27" t="s">
        <v>206</v>
      </c>
      <c r="E105" s="50"/>
      <c r="F105" s="62">
        <f t="shared" si="2"/>
        <v>0</v>
      </c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</row>
    <row r="106" spans="1:37" x14ac:dyDescent="0.4">
      <c r="A106" s="3">
        <v>17</v>
      </c>
      <c r="B106" s="336"/>
      <c r="C106" s="28" t="s">
        <v>207</v>
      </c>
      <c r="D106" s="29" t="s">
        <v>208</v>
      </c>
      <c r="E106" s="50"/>
      <c r="F106" s="62">
        <f t="shared" si="2"/>
        <v>0</v>
      </c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</row>
    <row r="107" spans="1:37" x14ac:dyDescent="0.4">
      <c r="A107" s="3">
        <v>18</v>
      </c>
      <c r="B107" s="336"/>
      <c r="C107" s="30" t="s">
        <v>209</v>
      </c>
      <c r="D107" s="31" t="s">
        <v>210</v>
      </c>
      <c r="E107" s="50" t="s">
        <v>525</v>
      </c>
      <c r="F107" s="62">
        <f t="shared" si="2"/>
        <v>0</v>
      </c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</row>
    <row r="108" spans="1:37" x14ac:dyDescent="0.4">
      <c r="A108" s="3">
        <v>19</v>
      </c>
      <c r="B108" s="336"/>
      <c r="C108" s="30" t="s">
        <v>211</v>
      </c>
      <c r="D108" s="31" t="s">
        <v>212</v>
      </c>
      <c r="E108" s="50" t="s">
        <v>525</v>
      </c>
      <c r="F108" s="62">
        <f t="shared" si="2"/>
        <v>0</v>
      </c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  <c r="AI108" s="49"/>
      <c r="AJ108" s="49"/>
      <c r="AK108" s="49"/>
    </row>
    <row r="109" spans="1:37" x14ac:dyDescent="0.4">
      <c r="A109" s="3">
        <v>20</v>
      </c>
      <c r="B109" s="336"/>
      <c r="C109" s="32" t="s">
        <v>213</v>
      </c>
      <c r="D109" s="33" t="s">
        <v>214</v>
      </c>
      <c r="E109" s="50" t="s">
        <v>525</v>
      </c>
      <c r="F109" s="62">
        <f t="shared" si="2"/>
        <v>0</v>
      </c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49"/>
      <c r="AK109" s="49"/>
    </row>
    <row r="110" spans="1:37" x14ac:dyDescent="0.4">
      <c r="A110" s="3">
        <v>21</v>
      </c>
      <c r="B110" s="337"/>
      <c r="C110" s="32" t="s">
        <v>215</v>
      </c>
      <c r="D110" s="33" t="s">
        <v>216</v>
      </c>
      <c r="E110" s="50" t="s">
        <v>525</v>
      </c>
      <c r="F110" s="62">
        <f t="shared" si="2"/>
        <v>0</v>
      </c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  <c r="AK110" s="49"/>
    </row>
    <row r="111" spans="1:37" x14ac:dyDescent="0.4">
      <c r="A111" s="3">
        <v>22</v>
      </c>
      <c r="B111" s="335" t="s">
        <v>217</v>
      </c>
      <c r="C111" s="32" t="s">
        <v>218</v>
      </c>
      <c r="D111" s="33" t="s">
        <v>219</v>
      </c>
      <c r="E111" s="50" t="s">
        <v>525</v>
      </c>
      <c r="F111" s="62">
        <f t="shared" si="2"/>
        <v>0</v>
      </c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</row>
    <row r="112" spans="1:37" x14ac:dyDescent="0.4">
      <c r="A112" s="3">
        <v>23</v>
      </c>
      <c r="B112" s="336"/>
      <c r="C112" s="32" t="s">
        <v>220</v>
      </c>
      <c r="D112" s="33" t="s">
        <v>221</v>
      </c>
      <c r="E112" s="50" t="s">
        <v>525</v>
      </c>
      <c r="F112" s="62">
        <f t="shared" si="2"/>
        <v>0</v>
      </c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49"/>
      <c r="AK112" s="49"/>
    </row>
    <row r="113" spans="1:37" x14ac:dyDescent="0.4">
      <c r="A113" s="3">
        <v>24</v>
      </c>
      <c r="B113" s="336"/>
      <c r="C113" s="32" t="s">
        <v>222</v>
      </c>
      <c r="D113" s="33" t="s">
        <v>223</v>
      </c>
      <c r="E113" s="50" t="s">
        <v>525</v>
      </c>
      <c r="F113" s="62">
        <f t="shared" si="2"/>
        <v>0</v>
      </c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49"/>
      <c r="AK113" s="49"/>
    </row>
    <row r="114" spans="1:37" x14ac:dyDescent="0.4">
      <c r="A114" s="3">
        <v>25</v>
      </c>
      <c r="B114" s="337"/>
      <c r="C114" s="32" t="s">
        <v>224</v>
      </c>
      <c r="D114" s="33" t="s">
        <v>225</v>
      </c>
      <c r="E114" s="50" t="s">
        <v>525</v>
      </c>
      <c r="F114" s="62">
        <f t="shared" si="2"/>
        <v>0</v>
      </c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49"/>
      <c r="AK114" s="49"/>
    </row>
    <row r="115" spans="1:37" x14ac:dyDescent="0.4">
      <c r="A115" s="3">
        <v>26</v>
      </c>
      <c r="B115" s="314" t="s">
        <v>226</v>
      </c>
      <c r="C115" s="34">
        <v>447926601</v>
      </c>
      <c r="D115" s="35" t="s">
        <v>227</v>
      </c>
      <c r="E115" s="50" t="s">
        <v>525</v>
      </c>
      <c r="F115" s="62">
        <f t="shared" si="2"/>
        <v>0</v>
      </c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49"/>
      <c r="AK115" s="49"/>
    </row>
    <row r="116" spans="1:37" x14ac:dyDescent="0.4">
      <c r="A116" s="3">
        <v>27</v>
      </c>
      <c r="B116" s="315"/>
      <c r="C116" s="36">
        <v>447926611</v>
      </c>
      <c r="D116" s="35" t="s">
        <v>228</v>
      </c>
      <c r="E116" s="50" t="s">
        <v>525</v>
      </c>
      <c r="F116" s="62">
        <f t="shared" si="2"/>
        <v>0</v>
      </c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</row>
    <row r="117" spans="1:37" x14ac:dyDescent="0.4">
      <c r="A117" s="3">
        <v>28</v>
      </c>
      <c r="B117" s="315"/>
      <c r="C117" s="36">
        <v>447926621</v>
      </c>
      <c r="D117" s="35" t="s">
        <v>229</v>
      </c>
      <c r="E117" s="50" t="s">
        <v>525</v>
      </c>
      <c r="F117" s="62">
        <f t="shared" si="2"/>
        <v>0</v>
      </c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</row>
    <row r="118" spans="1:37" x14ac:dyDescent="0.4">
      <c r="A118" s="3">
        <v>29</v>
      </c>
      <c r="B118" s="315"/>
      <c r="C118" s="37">
        <v>447926631</v>
      </c>
      <c r="D118" s="35" t="s">
        <v>230</v>
      </c>
      <c r="E118" s="50" t="s">
        <v>525</v>
      </c>
      <c r="F118" s="62">
        <f t="shared" si="2"/>
        <v>0</v>
      </c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</row>
    <row r="119" spans="1:37" x14ac:dyDescent="0.4">
      <c r="A119" s="3">
        <v>30</v>
      </c>
      <c r="B119" s="316"/>
      <c r="C119" s="34">
        <v>447926641</v>
      </c>
      <c r="D119" s="35" t="s">
        <v>231</v>
      </c>
      <c r="E119" s="50" t="s">
        <v>525</v>
      </c>
      <c r="F119" s="62">
        <f t="shared" si="2"/>
        <v>0</v>
      </c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</row>
    <row r="120" spans="1:37" x14ac:dyDescent="0.4">
      <c r="A120" s="3">
        <v>31</v>
      </c>
      <c r="B120" s="314" t="s">
        <v>232</v>
      </c>
      <c r="C120" s="34">
        <v>447926501</v>
      </c>
      <c r="D120" s="35" t="s">
        <v>233</v>
      </c>
      <c r="E120" s="50" t="s">
        <v>525</v>
      </c>
      <c r="F120" s="62">
        <f t="shared" si="2"/>
        <v>0</v>
      </c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</row>
    <row r="121" spans="1:37" x14ac:dyDescent="0.4">
      <c r="A121" s="3">
        <v>32</v>
      </c>
      <c r="B121" s="315"/>
      <c r="C121" s="34">
        <v>447926511</v>
      </c>
      <c r="D121" s="35" t="s">
        <v>234</v>
      </c>
      <c r="E121" s="50" t="s">
        <v>525</v>
      </c>
      <c r="F121" s="62">
        <f t="shared" si="2"/>
        <v>0</v>
      </c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49"/>
      <c r="AG121" s="49"/>
      <c r="AH121" s="49"/>
      <c r="AI121" s="49"/>
      <c r="AJ121" s="49"/>
      <c r="AK121" s="49"/>
    </row>
    <row r="122" spans="1:37" x14ac:dyDescent="0.4">
      <c r="A122" s="3">
        <v>33</v>
      </c>
      <c r="B122" s="315"/>
      <c r="C122" s="34">
        <v>447926521</v>
      </c>
      <c r="D122" s="35" t="s">
        <v>235</v>
      </c>
      <c r="E122" s="50" t="s">
        <v>525</v>
      </c>
      <c r="F122" s="62">
        <f t="shared" si="2"/>
        <v>0</v>
      </c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49"/>
      <c r="AG122" s="49"/>
      <c r="AH122" s="49"/>
      <c r="AI122" s="49"/>
      <c r="AJ122" s="49"/>
      <c r="AK122" s="49"/>
    </row>
    <row r="123" spans="1:37" x14ac:dyDescent="0.4">
      <c r="A123" s="3">
        <v>34</v>
      </c>
      <c r="B123" s="315"/>
      <c r="C123" s="34">
        <v>447926531</v>
      </c>
      <c r="D123" s="35" t="s">
        <v>236</v>
      </c>
      <c r="E123" s="50" t="s">
        <v>525</v>
      </c>
      <c r="F123" s="62">
        <f t="shared" si="2"/>
        <v>0</v>
      </c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</row>
    <row r="124" spans="1:37" x14ac:dyDescent="0.4">
      <c r="A124" s="3">
        <v>35</v>
      </c>
      <c r="B124" s="316"/>
      <c r="C124" s="34">
        <v>447926541</v>
      </c>
      <c r="D124" s="35" t="s">
        <v>237</v>
      </c>
      <c r="E124" s="50" t="s">
        <v>525</v>
      </c>
      <c r="F124" s="62">
        <f t="shared" si="2"/>
        <v>0</v>
      </c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49"/>
      <c r="AK124" s="49"/>
    </row>
    <row r="125" spans="1:37" x14ac:dyDescent="0.4">
      <c r="A125" s="3">
        <v>36</v>
      </c>
      <c r="B125" s="314" t="s">
        <v>238</v>
      </c>
      <c r="C125" s="34"/>
      <c r="D125" s="35" t="s">
        <v>239</v>
      </c>
      <c r="E125" s="50" t="s">
        <v>525</v>
      </c>
      <c r="F125" s="62">
        <f t="shared" si="2"/>
        <v>0</v>
      </c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  <c r="AI125" s="49"/>
      <c r="AJ125" s="49"/>
      <c r="AK125" s="49"/>
    </row>
    <row r="126" spans="1:37" x14ac:dyDescent="0.4">
      <c r="A126" s="3">
        <v>37</v>
      </c>
      <c r="B126" s="315"/>
      <c r="C126" s="34"/>
      <c r="D126" s="35" t="s">
        <v>240</v>
      </c>
      <c r="E126" s="50" t="s">
        <v>525</v>
      </c>
      <c r="F126" s="62">
        <f t="shared" si="2"/>
        <v>0</v>
      </c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  <c r="AJ126" s="49"/>
      <c r="AK126" s="49"/>
    </row>
    <row r="127" spans="1:37" x14ac:dyDescent="0.4">
      <c r="A127" s="3">
        <v>38</v>
      </c>
      <c r="B127" s="315"/>
      <c r="C127" s="34"/>
      <c r="D127" s="35" t="s">
        <v>241</v>
      </c>
      <c r="E127" s="50" t="s">
        <v>525</v>
      </c>
      <c r="F127" s="62">
        <f t="shared" si="2"/>
        <v>0</v>
      </c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  <c r="AI127" s="49"/>
      <c r="AJ127" s="49"/>
      <c r="AK127" s="49"/>
    </row>
    <row r="128" spans="1:37" x14ac:dyDescent="0.4">
      <c r="A128" s="3">
        <v>39</v>
      </c>
      <c r="B128" s="315"/>
      <c r="C128" s="34"/>
      <c r="D128" s="35" t="s">
        <v>242</v>
      </c>
      <c r="E128" s="50" t="s">
        <v>525</v>
      </c>
      <c r="F128" s="62">
        <f t="shared" si="2"/>
        <v>0</v>
      </c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</row>
    <row r="129" spans="1:37" x14ac:dyDescent="0.4">
      <c r="A129" s="3">
        <v>40</v>
      </c>
      <c r="B129" s="316"/>
      <c r="C129" s="34"/>
      <c r="D129" s="35" t="s">
        <v>243</v>
      </c>
      <c r="E129" s="50" t="s">
        <v>525</v>
      </c>
      <c r="F129" s="62">
        <f t="shared" si="2"/>
        <v>0</v>
      </c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</row>
    <row r="130" spans="1:37" x14ac:dyDescent="0.4">
      <c r="A130" s="3">
        <v>41</v>
      </c>
      <c r="B130" s="314" t="s">
        <v>244</v>
      </c>
      <c r="C130" s="34"/>
      <c r="D130" s="35" t="s">
        <v>245</v>
      </c>
      <c r="E130" s="50" t="s">
        <v>525</v>
      </c>
      <c r="F130" s="62">
        <f t="shared" si="2"/>
        <v>0</v>
      </c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  <c r="AI130" s="49"/>
      <c r="AJ130" s="49"/>
      <c r="AK130" s="49"/>
    </row>
    <row r="131" spans="1:37" x14ac:dyDescent="0.4">
      <c r="A131" s="3">
        <v>42</v>
      </c>
      <c r="B131" s="315"/>
      <c r="C131" s="34"/>
      <c r="D131" s="35" t="s">
        <v>246</v>
      </c>
      <c r="E131" s="50" t="s">
        <v>525</v>
      </c>
      <c r="F131" s="62">
        <f t="shared" si="2"/>
        <v>0</v>
      </c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  <c r="AI131" s="49"/>
      <c r="AJ131" s="49"/>
      <c r="AK131" s="49"/>
    </row>
    <row r="132" spans="1:37" x14ac:dyDescent="0.4">
      <c r="A132" s="3">
        <v>43</v>
      </c>
      <c r="B132" s="315"/>
      <c r="C132" s="34"/>
      <c r="D132" s="35" t="s">
        <v>247</v>
      </c>
      <c r="E132" s="50" t="s">
        <v>525</v>
      </c>
      <c r="F132" s="62">
        <f t="shared" si="2"/>
        <v>0</v>
      </c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49"/>
      <c r="AK132" s="49"/>
    </row>
    <row r="133" spans="1:37" x14ac:dyDescent="0.4">
      <c r="A133" s="3">
        <v>44</v>
      </c>
      <c r="B133" s="315"/>
      <c r="C133" s="34"/>
      <c r="D133" s="35" t="s">
        <v>248</v>
      </c>
      <c r="E133" s="50" t="s">
        <v>525</v>
      </c>
      <c r="F133" s="62">
        <f t="shared" si="2"/>
        <v>0</v>
      </c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49"/>
      <c r="AK133" s="49"/>
    </row>
    <row r="134" spans="1:37" x14ac:dyDescent="0.4">
      <c r="A134" s="3">
        <v>45</v>
      </c>
      <c r="B134" s="316"/>
      <c r="C134" s="34"/>
      <c r="D134" s="35" t="s">
        <v>249</v>
      </c>
      <c r="E134" s="50" t="s">
        <v>525</v>
      </c>
      <c r="F134" s="62">
        <f t="shared" si="2"/>
        <v>0</v>
      </c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49"/>
      <c r="AK134" s="49"/>
    </row>
    <row r="135" spans="1:37" x14ac:dyDescent="0.4">
      <c r="A135" s="3">
        <v>46</v>
      </c>
      <c r="B135" s="314" t="s">
        <v>250</v>
      </c>
      <c r="C135" s="38">
        <v>459668931</v>
      </c>
      <c r="D135" s="10" t="s">
        <v>251</v>
      </c>
      <c r="E135" s="50" t="s">
        <v>525</v>
      </c>
      <c r="F135" s="62">
        <f t="shared" si="2"/>
        <v>0</v>
      </c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  <c r="AI135" s="49"/>
      <c r="AJ135" s="49"/>
      <c r="AK135" s="49"/>
    </row>
    <row r="136" spans="1:37" ht="24" x14ac:dyDescent="0.4">
      <c r="A136" s="3">
        <v>47</v>
      </c>
      <c r="B136" s="315"/>
      <c r="C136" s="38" t="s">
        <v>252</v>
      </c>
      <c r="D136" s="10" t="s">
        <v>253</v>
      </c>
      <c r="E136" s="50" t="s">
        <v>525</v>
      </c>
      <c r="F136" s="62">
        <f t="shared" si="2"/>
        <v>0</v>
      </c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49"/>
      <c r="AG136" s="49"/>
      <c r="AH136" s="49"/>
      <c r="AI136" s="49"/>
      <c r="AJ136" s="49"/>
      <c r="AK136" s="49"/>
    </row>
    <row r="137" spans="1:37" ht="24" x14ac:dyDescent="0.4">
      <c r="A137" s="3">
        <v>48</v>
      </c>
      <c r="B137" s="315"/>
      <c r="C137" s="38" t="s">
        <v>254</v>
      </c>
      <c r="D137" s="10" t="s">
        <v>255</v>
      </c>
      <c r="E137" s="50" t="s">
        <v>525</v>
      </c>
      <c r="F137" s="62">
        <f t="shared" si="2"/>
        <v>0</v>
      </c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</row>
    <row r="138" spans="1:37" x14ac:dyDescent="0.4">
      <c r="A138" s="3">
        <v>49</v>
      </c>
      <c r="B138" s="316"/>
      <c r="C138" s="39">
        <v>459910512</v>
      </c>
      <c r="D138" s="40" t="s">
        <v>256</v>
      </c>
      <c r="E138" s="50" t="s">
        <v>525</v>
      </c>
      <c r="F138" s="62">
        <f t="shared" si="2"/>
        <v>0</v>
      </c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49"/>
      <c r="AD138" s="49"/>
      <c r="AE138" s="49"/>
      <c r="AF138" s="49"/>
      <c r="AG138" s="49"/>
      <c r="AH138" s="49"/>
      <c r="AI138" s="49"/>
      <c r="AJ138" s="49"/>
      <c r="AK138" s="49"/>
    </row>
    <row r="139" spans="1:37" x14ac:dyDescent="0.4">
      <c r="A139" s="3">
        <v>50</v>
      </c>
      <c r="B139" s="314" t="s">
        <v>257</v>
      </c>
      <c r="C139" s="39" t="s">
        <v>258</v>
      </c>
      <c r="D139" s="40" t="s">
        <v>259</v>
      </c>
      <c r="E139" s="50" t="s">
        <v>525</v>
      </c>
      <c r="F139" s="62">
        <f t="shared" si="2"/>
        <v>0</v>
      </c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49"/>
      <c r="AG139" s="49"/>
      <c r="AH139" s="49"/>
      <c r="AI139" s="49"/>
      <c r="AJ139" s="49"/>
      <c r="AK139" s="49"/>
    </row>
    <row r="140" spans="1:37" ht="24" x14ac:dyDescent="0.4">
      <c r="A140" s="3">
        <v>51</v>
      </c>
      <c r="B140" s="316"/>
      <c r="C140" s="39" t="s">
        <v>260</v>
      </c>
      <c r="D140" s="40" t="s">
        <v>259</v>
      </c>
      <c r="E140" s="50" t="s">
        <v>525</v>
      </c>
      <c r="F140" s="62">
        <f t="shared" si="2"/>
        <v>0</v>
      </c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49"/>
      <c r="AG140" s="49"/>
      <c r="AH140" s="49"/>
      <c r="AI140" s="49"/>
      <c r="AJ140" s="49"/>
      <c r="AK140" s="49"/>
    </row>
    <row r="141" spans="1:37" ht="24" x14ac:dyDescent="0.4">
      <c r="A141" s="3">
        <v>52</v>
      </c>
      <c r="B141" s="314" t="s">
        <v>261</v>
      </c>
      <c r="C141" s="39" t="s">
        <v>262</v>
      </c>
      <c r="D141" s="40" t="s">
        <v>263</v>
      </c>
      <c r="E141" s="50" t="s">
        <v>525</v>
      </c>
      <c r="F141" s="62">
        <f t="shared" si="2"/>
        <v>0</v>
      </c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  <c r="AH141" s="49"/>
      <c r="AI141" s="49"/>
      <c r="AJ141" s="49"/>
      <c r="AK141" s="49"/>
    </row>
    <row r="142" spans="1:37" ht="24" x14ac:dyDescent="0.4">
      <c r="A142" s="3">
        <v>53</v>
      </c>
      <c r="B142" s="315"/>
      <c r="C142" s="39" t="s">
        <v>264</v>
      </c>
      <c r="D142" s="40" t="s">
        <v>265</v>
      </c>
      <c r="E142" s="50" t="s">
        <v>525</v>
      </c>
      <c r="F142" s="62">
        <f t="shared" si="2"/>
        <v>0</v>
      </c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</row>
    <row r="143" spans="1:37" x14ac:dyDescent="0.4">
      <c r="A143" s="3">
        <v>54</v>
      </c>
      <c r="B143" s="315"/>
      <c r="C143" s="39" t="s">
        <v>266</v>
      </c>
      <c r="D143" s="40" t="s">
        <v>267</v>
      </c>
      <c r="E143" s="50" t="s">
        <v>525</v>
      </c>
      <c r="F143" s="62">
        <f t="shared" si="2"/>
        <v>0</v>
      </c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  <c r="AI143" s="49"/>
      <c r="AJ143" s="49"/>
      <c r="AK143" s="49"/>
    </row>
    <row r="144" spans="1:37" x14ac:dyDescent="0.4">
      <c r="A144" s="3">
        <v>55</v>
      </c>
      <c r="B144" s="315"/>
      <c r="C144" s="39" t="s">
        <v>268</v>
      </c>
      <c r="D144" s="40" t="s">
        <v>269</v>
      </c>
      <c r="E144" s="50" t="s">
        <v>525</v>
      </c>
      <c r="F144" s="62">
        <f t="shared" si="2"/>
        <v>0</v>
      </c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49"/>
      <c r="AD144" s="49"/>
      <c r="AE144" s="49"/>
      <c r="AF144" s="49"/>
      <c r="AG144" s="49"/>
      <c r="AH144" s="49"/>
      <c r="AI144" s="49"/>
      <c r="AJ144" s="49"/>
      <c r="AK144" s="49"/>
    </row>
    <row r="145" spans="1:37" x14ac:dyDescent="0.4">
      <c r="A145" s="3">
        <v>56</v>
      </c>
      <c r="B145" s="315"/>
      <c r="C145" s="39" t="s">
        <v>270</v>
      </c>
      <c r="D145" s="40" t="s">
        <v>271</v>
      </c>
      <c r="E145" s="50" t="s">
        <v>525</v>
      </c>
      <c r="F145" s="62">
        <f t="shared" si="2"/>
        <v>0</v>
      </c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49"/>
      <c r="AD145" s="49"/>
      <c r="AE145" s="49"/>
      <c r="AF145" s="49"/>
      <c r="AG145" s="49"/>
      <c r="AH145" s="49"/>
      <c r="AI145" s="49"/>
      <c r="AJ145" s="49"/>
      <c r="AK145" s="49"/>
    </row>
    <row r="146" spans="1:37" ht="24" x14ac:dyDescent="0.4">
      <c r="A146" s="3">
        <v>57</v>
      </c>
      <c r="B146" s="316"/>
      <c r="C146" s="39" t="s">
        <v>272</v>
      </c>
      <c r="D146" s="40" t="s">
        <v>273</v>
      </c>
      <c r="E146" s="50" t="s">
        <v>525</v>
      </c>
      <c r="F146" s="62">
        <f t="shared" si="2"/>
        <v>0</v>
      </c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  <c r="AI146" s="49"/>
      <c r="AJ146" s="49"/>
      <c r="AK146" s="49"/>
    </row>
    <row r="147" spans="1:37" ht="26.4" x14ac:dyDescent="0.4">
      <c r="A147" s="3">
        <v>58</v>
      </c>
      <c r="B147" s="314" t="s">
        <v>274</v>
      </c>
      <c r="C147" s="37" t="s">
        <v>275</v>
      </c>
      <c r="D147" s="10" t="s">
        <v>276</v>
      </c>
      <c r="E147" s="50" t="s">
        <v>525</v>
      </c>
      <c r="F147" s="62">
        <f t="shared" si="2"/>
        <v>0</v>
      </c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  <c r="AI147" s="49"/>
      <c r="AJ147" s="49"/>
      <c r="AK147" s="49"/>
    </row>
    <row r="148" spans="1:37" ht="26.4" x14ac:dyDescent="0.4">
      <c r="A148" s="3">
        <v>59</v>
      </c>
      <c r="B148" s="315"/>
      <c r="C148" s="37" t="s">
        <v>277</v>
      </c>
      <c r="D148" s="10" t="s">
        <v>278</v>
      </c>
      <c r="E148" s="50" t="s">
        <v>525</v>
      </c>
      <c r="F148" s="62">
        <f t="shared" si="2"/>
        <v>0</v>
      </c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  <c r="AI148" s="49"/>
      <c r="AJ148" s="49"/>
      <c r="AK148" s="49"/>
    </row>
    <row r="149" spans="1:37" ht="26.4" x14ac:dyDescent="0.4">
      <c r="A149" s="3">
        <v>60</v>
      </c>
      <c r="B149" s="315"/>
      <c r="C149" s="37" t="s">
        <v>279</v>
      </c>
      <c r="D149" s="10" t="s">
        <v>280</v>
      </c>
      <c r="E149" s="50" t="s">
        <v>525</v>
      </c>
      <c r="F149" s="62">
        <f t="shared" si="2"/>
        <v>0</v>
      </c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  <c r="AJ149" s="49"/>
      <c r="AK149" s="49"/>
    </row>
    <row r="150" spans="1:37" ht="26.4" x14ac:dyDescent="0.4">
      <c r="A150" s="3">
        <v>61</v>
      </c>
      <c r="B150" s="316"/>
      <c r="C150" s="37" t="s">
        <v>281</v>
      </c>
      <c r="D150" s="10" t="s">
        <v>282</v>
      </c>
      <c r="E150" s="50" t="s">
        <v>525</v>
      </c>
      <c r="F150" s="62">
        <f t="shared" si="2"/>
        <v>0</v>
      </c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  <c r="AJ150" s="49"/>
      <c r="AK150" s="49"/>
    </row>
    <row r="151" spans="1:37" x14ac:dyDescent="0.4">
      <c r="A151" s="3">
        <v>62</v>
      </c>
      <c r="B151" s="314" t="s">
        <v>283</v>
      </c>
      <c r="C151" s="39" t="s">
        <v>284</v>
      </c>
      <c r="D151" s="40" t="s">
        <v>285</v>
      </c>
      <c r="E151" s="50" t="s">
        <v>525</v>
      </c>
      <c r="F151" s="62">
        <f t="shared" si="2"/>
        <v>0</v>
      </c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  <c r="AJ151" s="49"/>
      <c r="AK151" s="49"/>
    </row>
    <row r="152" spans="1:37" x14ac:dyDescent="0.4">
      <c r="A152" s="3">
        <v>63</v>
      </c>
      <c r="B152" s="315"/>
      <c r="C152" s="39" t="s">
        <v>286</v>
      </c>
      <c r="D152" s="40" t="s">
        <v>287</v>
      </c>
      <c r="E152" s="50" t="s">
        <v>525</v>
      </c>
      <c r="F152" s="62">
        <f t="shared" si="2"/>
        <v>0</v>
      </c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  <c r="AJ152" s="49"/>
      <c r="AK152" s="49"/>
    </row>
    <row r="153" spans="1:37" x14ac:dyDescent="0.4">
      <c r="A153" s="3">
        <v>64</v>
      </c>
      <c r="B153" s="315"/>
      <c r="C153" s="39" t="s">
        <v>288</v>
      </c>
      <c r="D153" s="40" t="s">
        <v>289</v>
      </c>
      <c r="E153" s="50" t="s">
        <v>525</v>
      </c>
      <c r="F153" s="62">
        <f t="shared" si="2"/>
        <v>0</v>
      </c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  <c r="AJ153" s="49"/>
      <c r="AK153" s="49"/>
    </row>
    <row r="154" spans="1:37" x14ac:dyDescent="0.4">
      <c r="A154" s="3">
        <v>65</v>
      </c>
      <c r="B154" s="315"/>
      <c r="C154" s="39" t="s">
        <v>290</v>
      </c>
      <c r="D154" s="40" t="s">
        <v>291</v>
      </c>
      <c r="E154" s="50" t="s">
        <v>525</v>
      </c>
      <c r="F154" s="62">
        <f t="shared" si="2"/>
        <v>0</v>
      </c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49"/>
      <c r="AJ154" s="49"/>
      <c r="AK154" s="49"/>
    </row>
    <row r="155" spans="1:37" x14ac:dyDescent="0.4">
      <c r="A155" s="3">
        <v>66</v>
      </c>
      <c r="B155" s="315"/>
      <c r="C155" s="39" t="s">
        <v>292</v>
      </c>
      <c r="D155" s="40" t="s">
        <v>293</v>
      </c>
      <c r="E155" s="50" t="s">
        <v>525</v>
      </c>
      <c r="F155" s="62">
        <f t="shared" ref="F155:F218" si="3">SUM(G155:AK155)</f>
        <v>0</v>
      </c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49"/>
      <c r="AJ155" s="49"/>
      <c r="AK155" s="49"/>
    </row>
    <row r="156" spans="1:37" x14ac:dyDescent="0.4">
      <c r="A156" s="3">
        <v>67</v>
      </c>
      <c r="B156" s="315"/>
      <c r="C156" s="39" t="s">
        <v>294</v>
      </c>
      <c r="D156" s="40" t="s">
        <v>295</v>
      </c>
      <c r="E156" s="50" t="s">
        <v>525</v>
      </c>
      <c r="F156" s="62">
        <f t="shared" si="3"/>
        <v>0</v>
      </c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49"/>
      <c r="AJ156" s="49"/>
      <c r="AK156" s="49"/>
    </row>
    <row r="157" spans="1:37" x14ac:dyDescent="0.4">
      <c r="A157" s="3">
        <v>68</v>
      </c>
      <c r="B157" s="315"/>
      <c r="C157" s="39" t="s">
        <v>296</v>
      </c>
      <c r="D157" s="40" t="s">
        <v>297</v>
      </c>
      <c r="E157" s="50" t="s">
        <v>525</v>
      </c>
      <c r="F157" s="62">
        <f t="shared" si="3"/>
        <v>0</v>
      </c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49"/>
      <c r="AG157" s="49"/>
      <c r="AH157" s="49"/>
      <c r="AI157" s="49"/>
      <c r="AJ157" s="49"/>
      <c r="AK157" s="49"/>
    </row>
    <row r="158" spans="1:37" x14ac:dyDescent="0.4">
      <c r="A158" s="3">
        <v>69</v>
      </c>
      <c r="B158" s="316"/>
      <c r="C158" s="39" t="s">
        <v>298</v>
      </c>
      <c r="D158" s="40" t="s">
        <v>299</v>
      </c>
      <c r="E158" s="50" t="s">
        <v>525</v>
      </c>
      <c r="F158" s="62">
        <f t="shared" si="3"/>
        <v>0</v>
      </c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  <c r="AI158" s="49"/>
      <c r="AJ158" s="49"/>
      <c r="AK158" s="49"/>
    </row>
    <row r="159" spans="1:37" ht="26.4" x14ac:dyDescent="0.4">
      <c r="A159" s="3">
        <v>70</v>
      </c>
      <c r="B159" s="314" t="s">
        <v>300</v>
      </c>
      <c r="C159" s="37" t="s">
        <v>301</v>
      </c>
      <c r="D159" s="10" t="s">
        <v>302</v>
      </c>
      <c r="E159" s="50" t="s">
        <v>525</v>
      </c>
      <c r="F159" s="62">
        <f t="shared" si="3"/>
        <v>0</v>
      </c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49"/>
      <c r="AG159" s="49"/>
      <c r="AH159" s="49"/>
      <c r="AI159" s="49"/>
      <c r="AJ159" s="49"/>
      <c r="AK159" s="49"/>
    </row>
    <row r="160" spans="1:37" ht="26.4" x14ac:dyDescent="0.4">
      <c r="A160" s="3">
        <v>71</v>
      </c>
      <c r="B160" s="316"/>
      <c r="C160" s="37" t="s">
        <v>303</v>
      </c>
      <c r="D160" s="10" t="s">
        <v>304</v>
      </c>
      <c r="E160" s="50" t="s">
        <v>525</v>
      </c>
      <c r="F160" s="62">
        <f t="shared" si="3"/>
        <v>0</v>
      </c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49"/>
      <c r="AJ160" s="49"/>
      <c r="AK160" s="49"/>
    </row>
    <row r="161" spans="1:37" x14ac:dyDescent="0.4">
      <c r="A161" s="3">
        <v>72</v>
      </c>
      <c r="B161" s="41" t="s">
        <v>305</v>
      </c>
      <c r="C161" s="37">
        <v>370425461</v>
      </c>
      <c r="D161" s="10" t="s">
        <v>306</v>
      </c>
      <c r="E161" s="50" t="s">
        <v>525</v>
      </c>
      <c r="F161" s="62">
        <f t="shared" si="3"/>
        <v>0</v>
      </c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49"/>
      <c r="AJ161" s="49"/>
      <c r="AK161" s="49"/>
    </row>
    <row r="162" spans="1:37" ht="26.4" x14ac:dyDescent="0.4">
      <c r="A162" s="3">
        <v>73</v>
      </c>
      <c r="B162" s="42" t="s">
        <v>307</v>
      </c>
      <c r="C162" s="37" t="s">
        <v>308</v>
      </c>
      <c r="D162" s="10" t="s">
        <v>309</v>
      </c>
      <c r="E162" s="50" t="s">
        <v>525</v>
      </c>
      <c r="F162" s="62">
        <f t="shared" si="3"/>
        <v>0</v>
      </c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  <c r="AI162" s="49"/>
      <c r="AJ162" s="49"/>
      <c r="AK162" s="49"/>
    </row>
    <row r="163" spans="1:37" ht="26.4" x14ac:dyDescent="0.4">
      <c r="A163" s="3"/>
      <c r="B163" s="43" t="s">
        <v>310</v>
      </c>
      <c r="C163" s="37" t="s">
        <v>311</v>
      </c>
      <c r="D163" s="10" t="s">
        <v>312</v>
      </c>
      <c r="E163" s="50" t="s">
        <v>525</v>
      </c>
      <c r="F163" s="62">
        <f t="shared" si="3"/>
        <v>0</v>
      </c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49"/>
      <c r="AG163" s="49"/>
      <c r="AH163" s="49"/>
      <c r="AI163" s="49"/>
      <c r="AJ163" s="49"/>
      <c r="AK163" s="49"/>
    </row>
    <row r="164" spans="1:37" ht="26.4" x14ac:dyDescent="0.4">
      <c r="A164" s="3">
        <v>74</v>
      </c>
      <c r="B164" s="338" t="s">
        <v>313</v>
      </c>
      <c r="C164" s="37" t="s">
        <v>314</v>
      </c>
      <c r="D164" s="10" t="s">
        <v>315</v>
      </c>
      <c r="E164" s="50" t="s">
        <v>525</v>
      </c>
      <c r="F164" s="62">
        <f t="shared" si="3"/>
        <v>0</v>
      </c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49"/>
      <c r="AG164" s="49"/>
      <c r="AH164" s="49"/>
      <c r="AI164" s="49"/>
      <c r="AJ164" s="49"/>
      <c r="AK164" s="49"/>
    </row>
    <row r="165" spans="1:37" ht="26.4" x14ac:dyDescent="0.4">
      <c r="A165" s="3">
        <v>75</v>
      </c>
      <c r="B165" s="339"/>
      <c r="C165" s="37" t="s">
        <v>316</v>
      </c>
      <c r="D165" s="10" t="s">
        <v>317</v>
      </c>
      <c r="E165" s="50" t="s">
        <v>525</v>
      </c>
      <c r="F165" s="62">
        <f t="shared" si="3"/>
        <v>0</v>
      </c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49"/>
      <c r="AG165" s="49"/>
      <c r="AH165" s="49"/>
      <c r="AI165" s="49"/>
      <c r="AJ165" s="49"/>
      <c r="AK165" s="49"/>
    </row>
    <row r="166" spans="1:37" ht="26.4" x14ac:dyDescent="0.4">
      <c r="A166" s="3">
        <v>76</v>
      </c>
      <c r="B166" s="340"/>
      <c r="C166" s="37" t="s">
        <v>318</v>
      </c>
      <c r="D166" s="10" t="s">
        <v>319</v>
      </c>
      <c r="E166" s="50" t="s">
        <v>525</v>
      </c>
      <c r="F166" s="62">
        <f t="shared" si="3"/>
        <v>0</v>
      </c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49"/>
      <c r="AG166" s="49"/>
      <c r="AH166" s="49"/>
      <c r="AI166" s="49"/>
      <c r="AJ166" s="49"/>
      <c r="AK166" s="49"/>
    </row>
    <row r="167" spans="1:37" x14ac:dyDescent="0.4">
      <c r="A167" s="3">
        <v>77</v>
      </c>
      <c r="B167" s="41"/>
      <c r="C167" s="44" t="s">
        <v>320</v>
      </c>
      <c r="D167" s="10" t="s">
        <v>321</v>
      </c>
      <c r="E167" s="50" t="s">
        <v>526</v>
      </c>
      <c r="F167" s="62">
        <f t="shared" si="3"/>
        <v>0</v>
      </c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  <c r="AI167" s="49"/>
      <c r="AJ167" s="49"/>
      <c r="AK167" s="49"/>
    </row>
    <row r="168" spans="1:37" ht="26.4" x14ac:dyDescent="0.4">
      <c r="A168" s="3">
        <v>78</v>
      </c>
      <c r="B168" s="314" t="s">
        <v>322</v>
      </c>
      <c r="C168" s="37" t="s">
        <v>323</v>
      </c>
      <c r="D168" s="10" t="s">
        <v>324</v>
      </c>
      <c r="E168" s="50" t="s">
        <v>525</v>
      </c>
      <c r="F168" s="62">
        <f t="shared" si="3"/>
        <v>0</v>
      </c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  <c r="AI168" s="49"/>
      <c r="AJ168" s="49"/>
      <c r="AK168" s="49"/>
    </row>
    <row r="169" spans="1:37" ht="26.4" x14ac:dyDescent="0.4">
      <c r="A169" s="3">
        <v>79</v>
      </c>
      <c r="B169" s="315"/>
      <c r="C169" s="37" t="s">
        <v>325</v>
      </c>
      <c r="D169" s="10" t="s">
        <v>326</v>
      </c>
      <c r="E169" s="50" t="s">
        <v>525</v>
      </c>
      <c r="F169" s="62">
        <f t="shared" si="3"/>
        <v>0</v>
      </c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49"/>
      <c r="AG169" s="49"/>
      <c r="AH169" s="49"/>
      <c r="AI169" s="49"/>
      <c r="AJ169" s="49"/>
      <c r="AK169" s="49"/>
    </row>
    <row r="170" spans="1:37" ht="26.4" x14ac:dyDescent="0.4">
      <c r="A170" s="3">
        <v>80</v>
      </c>
      <c r="B170" s="315"/>
      <c r="C170" s="37" t="s">
        <v>327</v>
      </c>
      <c r="D170" s="10" t="s">
        <v>328</v>
      </c>
      <c r="E170" s="50" t="s">
        <v>525</v>
      </c>
      <c r="F170" s="62">
        <f t="shared" si="3"/>
        <v>0</v>
      </c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  <c r="AI170" s="49"/>
      <c r="AJ170" s="49"/>
      <c r="AK170" s="49"/>
    </row>
    <row r="171" spans="1:37" ht="26.4" x14ac:dyDescent="0.4">
      <c r="A171" s="3">
        <v>81</v>
      </c>
      <c r="B171" s="315"/>
      <c r="C171" s="37" t="s">
        <v>329</v>
      </c>
      <c r="D171" s="10" t="s">
        <v>330</v>
      </c>
      <c r="E171" s="50" t="s">
        <v>525</v>
      </c>
      <c r="F171" s="62">
        <f t="shared" si="3"/>
        <v>0</v>
      </c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  <c r="AJ171" s="49"/>
      <c r="AK171" s="49"/>
    </row>
    <row r="172" spans="1:37" ht="26.4" x14ac:dyDescent="0.4">
      <c r="A172" s="3">
        <v>82</v>
      </c>
      <c r="B172" s="315"/>
      <c r="C172" s="37" t="s">
        <v>331</v>
      </c>
      <c r="D172" s="10" t="s">
        <v>332</v>
      </c>
      <c r="E172" s="50" t="s">
        <v>525</v>
      </c>
      <c r="F172" s="62">
        <f t="shared" si="3"/>
        <v>0</v>
      </c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49"/>
      <c r="AE172" s="49"/>
      <c r="AF172" s="49"/>
      <c r="AG172" s="49"/>
      <c r="AH172" s="49"/>
      <c r="AI172" s="49"/>
      <c r="AJ172" s="49"/>
      <c r="AK172" s="49"/>
    </row>
    <row r="173" spans="1:37" ht="26.4" x14ac:dyDescent="0.4">
      <c r="A173" s="3">
        <v>83</v>
      </c>
      <c r="B173" s="315"/>
      <c r="C173" s="37" t="s">
        <v>333</v>
      </c>
      <c r="D173" s="10" t="s">
        <v>334</v>
      </c>
      <c r="E173" s="50" t="s">
        <v>525</v>
      </c>
      <c r="F173" s="62">
        <f t="shared" si="3"/>
        <v>0</v>
      </c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49"/>
      <c r="AG173" s="49"/>
      <c r="AH173" s="49"/>
      <c r="AI173" s="49"/>
      <c r="AJ173" s="49"/>
      <c r="AK173" s="49"/>
    </row>
    <row r="174" spans="1:37" ht="26.4" x14ac:dyDescent="0.4">
      <c r="A174" s="3">
        <v>84</v>
      </c>
      <c r="B174" s="315"/>
      <c r="C174" s="37" t="s">
        <v>335</v>
      </c>
      <c r="D174" s="10" t="s">
        <v>336</v>
      </c>
      <c r="E174" s="50" t="s">
        <v>525</v>
      </c>
      <c r="F174" s="62">
        <f t="shared" si="3"/>
        <v>0</v>
      </c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</row>
    <row r="175" spans="1:37" ht="26.4" x14ac:dyDescent="0.4">
      <c r="A175" s="3">
        <v>85</v>
      </c>
      <c r="B175" s="315"/>
      <c r="C175" s="37" t="s">
        <v>337</v>
      </c>
      <c r="D175" s="10" t="s">
        <v>338</v>
      </c>
      <c r="E175" s="50" t="s">
        <v>525</v>
      </c>
      <c r="F175" s="62">
        <f t="shared" si="3"/>
        <v>0</v>
      </c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  <c r="AI175" s="49"/>
      <c r="AJ175" s="49"/>
      <c r="AK175" s="49"/>
    </row>
    <row r="176" spans="1:37" ht="26.4" x14ac:dyDescent="0.4">
      <c r="A176" s="3">
        <v>86</v>
      </c>
      <c r="B176" s="316"/>
      <c r="C176" s="37" t="s">
        <v>339</v>
      </c>
      <c r="D176" s="10" t="s">
        <v>340</v>
      </c>
      <c r="E176" s="50" t="s">
        <v>525</v>
      </c>
      <c r="F176" s="62">
        <f t="shared" si="3"/>
        <v>0</v>
      </c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49"/>
      <c r="AG176" s="49"/>
      <c r="AH176" s="49"/>
      <c r="AI176" s="49"/>
      <c r="AJ176" s="49"/>
      <c r="AK176" s="49"/>
    </row>
    <row r="177" spans="1:37" ht="26.4" x14ac:dyDescent="0.4">
      <c r="A177" s="3">
        <v>87</v>
      </c>
      <c r="B177" s="314" t="s">
        <v>341</v>
      </c>
      <c r="C177" s="37" t="s">
        <v>342</v>
      </c>
      <c r="D177" s="10" t="s">
        <v>343</v>
      </c>
      <c r="E177" s="50" t="s">
        <v>525</v>
      </c>
      <c r="F177" s="62">
        <f t="shared" si="3"/>
        <v>0</v>
      </c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49"/>
      <c r="AG177" s="49"/>
      <c r="AH177" s="49"/>
      <c r="AI177" s="49"/>
      <c r="AJ177" s="49"/>
      <c r="AK177" s="49"/>
    </row>
    <row r="178" spans="1:37" ht="26.4" x14ac:dyDescent="0.4">
      <c r="A178" s="3">
        <v>88</v>
      </c>
      <c r="B178" s="315"/>
      <c r="C178" s="37" t="s">
        <v>344</v>
      </c>
      <c r="D178" s="10" t="s">
        <v>345</v>
      </c>
      <c r="E178" s="50" t="s">
        <v>525</v>
      </c>
      <c r="F178" s="62">
        <f t="shared" si="3"/>
        <v>0</v>
      </c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49"/>
      <c r="AG178" s="49"/>
      <c r="AH178" s="49"/>
      <c r="AI178" s="49"/>
      <c r="AJ178" s="49"/>
      <c r="AK178" s="49"/>
    </row>
    <row r="179" spans="1:37" ht="26.4" x14ac:dyDescent="0.4">
      <c r="A179" s="3">
        <v>89</v>
      </c>
      <c r="B179" s="315"/>
      <c r="C179" s="37" t="s">
        <v>346</v>
      </c>
      <c r="D179" s="10" t="s">
        <v>347</v>
      </c>
      <c r="E179" s="50" t="s">
        <v>525</v>
      </c>
      <c r="F179" s="62">
        <f t="shared" si="3"/>
        <v>0</v>
      </c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49"/>
      <c r="AG179" s="49"/>
      <c r="AH179" s="49"/>
      <c r="AI179" s="49"/>
      <c r="AJ179" s="49"/>
      <c r="AK179" s="49"/>
    </row>
    <row r="180" spans="1:37" ht="26.4" x14ac:dyDescent="0.4">
      <c r="A180" s="3">
        <v>90</v>
      </c>
      <c r="B180" s="315"/>
      <c r="C180" s="37" t="s">
        <v>348</v>
      </c>
      <c r="D180" s="10" t="s">
        <v>349</v>
      </c>
      <c r="E180" s="50" t="s">
        <v>525</v>
      </c>
      <c r="F180" s="62">
        <f t="shared" si="3"/>
        <v>0</v>
      </c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49"/>
      <c r="AG180" s="49"/>
      <c r="AH180" s="49"/>
      <c r="AI180" s="49"/>
      <c r="AJ180" s="49"/>
      <c r="AK180" s="49"/>
    </row>
    <row r="181" spans="1:37" ht="26.4" x14ac:dyDescent="0.4">
      <c r="A181" s="3">
        <v>91</v>
      </c>
      <c r="B181" s="316"/>
      <c r="C181" s="37" t="s">
        <v>350</v>
      </c>
      <c r="D181" s="10" t="s">
        <v>351</v>
      </c>
      <c r="E181" s="50" t="s">
        <v>525</v>
      </c>
      <c r="F181" s="62">
        <f t="shared" si="3"/>
        <v>0</v>
      </c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49"/>
      <c r="AG181" s="49"/>
      <c r="AH181" s="49"/>
      <c r="AI181" s="49"/>
      <c r="AJ181" s="49"/>
      <c r="AK181" s="49"/>
    </row>
    <row r="182" spans="1:37" ht="26.4" x14ac:dyDescent="0.4">
      <c r="A182" s="3">
        <v>92</v>
      </c>
      <c r="B182" s="314" t="s">
        <v>352</v>
      </c>
      <c r="C182" s="37" t="s">
        <v>353</v>
      </c>
      <c r="D182" s="10" t="s">
        <v>354</v>
      </c>
      <c r="E182" s="50" t="s">
        <v>525</v>
      </c>
      <c r="F182" s="62">
        <f t="shared" si="3"/>
        <v>0</v>
      </c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49"/>
      <c r="AG182" s="49"/>
      <c r="AH182" s="49"/>
      <c r="AI182" s="49"/>
      <c r="AJ182" s="49"/>
      <c r="AK182" s="49"/>
    </row>
    <row r="183" spans="1:37" ht="26.4" x14ac:dyDescent="0.4">
      <c r="A183" s="3">
        <v>93</v>
      </c>
      <c r="B183" s="315"/>
      <c r="C183" s="37" t="s">
        <v>355</v>
      </c>
      <c r="D183" s="10" t="s">
        <v>356</v>
      </c>
      <c r="E183" s="50" t="s">
        <v>525</v>
      </c>
      <c r="F183" s="62">
        <f t="shared" si="3"/>
        <v>0</v>
      </c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49"/>
      <c r="AG183" s="49"/>
      <c r="AH183" s="49"/>
      <c r="AI183" s="49"/>
      <c r="AJ183" s="49"/>
      <c r="AK183" s="49"/>
    </row>
    <row r="184" spans="1:37" ht="26.4" x14ac:dyDescent="0.4">
      <c r="A184" s="3">
        <v>94</v>
      </c>
      <c r="B184" s="315"/>
      <c r="C184" s="37" t="s">
        <v>357</v>
      </c>
      <c r="D184" s="10" t="s">
        <v>358</v>
      </c>
      <c r="E184" s="50" t="s">
        <v>525</v>
      </c>
      <c r="F184" s="62">
        <f t="shared" si="3"/>
        <v>0</v>
      </c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9"/>
      <c r="AC184" s="49"/>
      <c r="AD184" s="49"/>
      <c r="AE184" s="49"/>
      <c r="AF184" s="49"/>
      <c r="AG184" s="49"/>
      <c r="AH184" s="49"/>
      <c r="AI184" s="49"/>
      <c r="AJ184" s="49"/>
      <c r="AK184" s="49"/>
    </row>
    <row r="185" spans="1:37" ht="26.4" x14ac:dyDescent="0.4">
      <c r="A185" s="3">
        <v>95</v>
      </c>
      <c r="B185" s="315"/>
      <c r="C185" s="37" t="s">
        <v>359</v>
      </c>
      <c r="D185" s="10" t="s">
        <v>360</v>
      </c>
      <c r="E185" s="50" t="s">
        <v>525</v>
      </c>
      <c r="F185" s="62">
        <f t="shared" si="3"/>
        <v>0</v>
      </c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9"/>
      <c r="AC185" s="49"/>
      <c r="AD185" s="49"/>
      <c r="AE185" s="49"/>
      <c r="AF185" s="49"/>
      <c r="AG185" s="49"/>
      <c r="AH185" s="49"/>
      <c r="AI185" s="49"/>
      <c r="AJ185" s="49"/>
      <c r="AK185" s="49"/>
    </row>
    <row r="186" spans="1:37" ht="26.4" x14ac:dyDescent="0.4">
      <c r="A186" s="3">
        <v>96</v>
      </c>
      <c r="B186" s="315"/>
      <c r="C186" s="37" t="s">
        <v>361</v>
      </c>
      <c r="D186" s="10" t="s">
        <v>362</v>
      </c>
      <c r="E186" s="50" t="s">
        <v>525</v>
      </c>
      <c r="F186" s="62">
        <f t="shared" si="3"/>
        <v>0</v>
      </c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9"/>
      <c r="AC186" s="49"/>
      <c r="AD186" s="49"/>
      <c r="AE186" s="49"/>
      <c r="AF186" s="49"/>
      <c r="AG186" s="49"/>
      <c r="AH186" s="49"/>
      <c r="AI186" s="49"/>
      <c r="AJ186" s="49"/>
      <c r="AK186" s="49"/>
    </row>
    <row r="187" spans="1:37" ht="26.4" x14ac:dyDescent="0.4">
      <c r="A187" s="3">
        <v>97</v>
      </c>
      <c r="B187" s="315"/>
      <c r="C187" s="37" t="s">
        <v>363</v>
      </c>
      <c r="D187" s="10" t="s">
        <v>364</v>
      </c>
      <c r="E187" s="50" t="s">
        <v>525</v>
      </c>
      <c r="F187" s="62">
        <f t="shared" si="3"/>
        <v>0</v>
      </c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9"/>
      <c r="AC187" s="49"/>
      <c r="AD187" s="49"/>
      <c r="AE187" s="49"/>
      <c r="AF187" s="49"/>
      <c r="AG187" s="49"/>
      <c r="AH187" s="49"/>
      <c r="AI187" s="49"/>
      <c r="AJ187" s="49"/>
      <c r="AK187" s="49"/>
    </row>
    <row r="188" spans="1:37" ht="26.4" x14ac:dyDescent="0.4">
      <c r="A188" s="3">
        <v>98</v>
      </c>
      <c r="B188" s="315"/>
      <c r="C188" s="37" t="s">
        <v>365</v>
      </c>
      <c r="D188" s="10" t="s">
        <v>366</v>
      </c>
      <c r="E188" s="50" t="s">
        <v>525</v>
      </c>
      <c r="F188" s="62">
        <f t="shared" si="3"/>
        <v>0</v>
      </c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9"/>
      <c r="AC188" s="49"/>
      <c r="AD188" s="49"/>
      <c r="AE188" s="49"/>
      <c r="AF188" s="49"/>
      <c r="AG188" s="49"/>
      <c r="AH188" s="49"/>
      <c r="AI188" s="49"/>
      <c r="AJ188" s="49"/>
      <c r="AK188" s="49"/>
    </row>
    <row r="189" spans="1:37" ht="26.4" x14ac:dyDescent="0.4">
      <c r="A189" s="3">
        <v>99</v>
      </c>
      <c r="B189" s="315"/>
      <c r="C189" s="37" t="s">
        <v>367</v>
      </c>
      <c r="D189" s="10" t="s">
        <v>368</v>
      </c>
      <c r="E189" s="50" t="s">
        <v>525</v>
      </c>
      <c r="F189" s="62">
        <f t="shared" si="3"/>
        <v>0</v>
      </c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9"/>
      <c r="AC189" s="49"/>
      <c r="AD189" s="49"/>
      <c r="AE189" s="49"/>
      <c r="AF189" s="49"/>
      <c r="AG189" s="49"/>
      <c r="AH189" s="49"/>
      <c r="AI189" s="49"/>
      <c r="AJ189" s="49"/>
      <c r="AK189" s="49"/>
    </row>
    <row r="190" spans="1:37" ht="26.4" x14ac:dyDescent="0.4">
      <c r="A190" s="3">
        <v>100</v>
      </c>
      <c r="B190" s="315"/>
      <c r="C190" s="37" t="s">
        <v>369</v>
      </c>
      <c r="D190" s="10" t="s">
        <v>370</v>
      </c>
      <c r="E190" s="50" t="s">
        <v>525</v>
      </c>
      <c r="F190" s="62">
        <f t="shared" si="3"/>
        <v>0</v>
      </c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  <c r="AA190" s="49"/>
      <c r="AB190" s="49"/>
      <c r="AC190" s="49"/>
      <c r="AD190" s="49"/>
      <c r="AE190" s="49"/>
      <c r="AF190" s="49"/>
      <c r="AG190" s="49"/>
      <c r="AH190" s="49"/>
      <c r="AI190" s="49"/>
      <c r="AJ190" s="49"/>
      <c r="AK190" s="49"/>
    </row>
    <row r="191" spans="1:37" ht="26.4" x14ac:dyDescent="0.4">
      <c r="A191" s="3">
        <v>101</v>
      </c>
      <c r="B191" s="315"/>
      <c r="C191" s="37" t="s">
        <v>371</v>
      </c>
      <c r="D191" s="10" t="s">
        <v>372</v>
      </c>
      <c r="E191" s="50" t="s">
        <v>525</v>
      </c>
      <c r="F191" s="62">
        <f t="shared" si="3"/>
        <v>0</v>
      </c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  <c r="AA191" s="49"/>
      <c r="AB191" s="49"/>
      <c r="AC191" s="49"/>
      <c r="AD191" s="49"/>
      <c r="AE191" s="49"/>
      <c r="AF191" s="49"/>
      <c r="AG191" s="49"/>
      <c r="AH191" s="49"/>
      <c r="AI191" s="49"/>
      <c r="AJ191" s="49"/>
      <c r="AK191" s="49"/>
    </row>
    <row r="192" spans="1:37" ht="26.4" x14ac:dyDescent="0.4">
      <c r="A192" s="3">
        <v>102</v>
      </c>
      <c r="B192" s="315"/>
      <c r="C192" s="37" t="s">
        <v>373</v>
      </c>
      <c r="D192" s="10" t="s">
        <v>374</v>
      </c>
      <c r="E192" s="50" t="s">
        <v>525</v>
      </c>
      <c r="F192" s="62">
        <f t="shared" si="3"/>
        <v>0</v>
      </c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9"/>
      <c r="AC192" s="49"/>
      <c r="AD192" s="49"/>
      <c r="AE192" s="49"/>
      <c r="AF192" s="49"/>
      <c r="AG192" s="49"/>
      <c r="AH192" s="49"/>
      <c r="AI192" s="49"/>
      <c r="AJ192" s="49"/>
      <c r="AK192" s="49"/>
    </row>
    <row r="193" spans="1:37" ht="26.4" x14ac:dyDescent="0.4">
      <c r="A193" s="3">
        <v>103</v>
      </c>
      <c r="B193" s="315"/>
      <c r="C193" s="37" t="s">
        <v>375</v>
      </c>
      <c r="D193" s="10" t="s">
        <v>376</v>
      </c>
      <c r="E193" s="50" t="s">
        <v>525</v>
      </c>
      <c r="F193" s="62">
        <f t="shared" si="3"/>
        <v>0</v>
      </c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9"/>
      <c r="AC193" s="49"/>
      <c r="AD193" s="49"/>
      <c r="AE193" s="49"/>
      <c r="AF193" s="49"/>
      <c r="AG193" s="49"/>
      <c r="AH193" s="49"/>
      <c r="AI193" s="49"/>
      <c r="AJ193" s="49"/>
      <c r="AK193" s="49"/>
    </row>
    <row r="194" spans="1:37" ht="26.4" x14ac:dyDescent="0.4">
      <c r="A194" s="3">
        <v>104</v>
      </c>
      <c r="B194" s="315"/>
      <c r="C194" s="37" t="s">
        <v>377</v>
      </c>
      <c r="D194" s="10" t="s">
        <v>378</v>
      </c>
      <c r="E194" s="50" t="s">
        <v>525</v>
      </c>
      <c r="F194" s="62">
        <f t="shared" si="3"/>
        <v>0</v>
      </c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9"/>
      <c r="AC194" s="49"/>
      <c r="AD194" s="49"/>
      <c r="AE194" s="49"/>
      <c r="AF194" s="49"/>
      <c r="AG194" s="49"/>
      <c r="AH194" s="49"/>
      <c r="AI194" s="49"/>
      <c r="AJ194" s="49"/>
      <c r="AK194" s="49"/>
    </row>
    <row r="195" spans="1:37" ht="26.4" x14ac:dyDescent="0.4">
      <c r="A195" s="3">
        <v>105</v>
      </c>
      <c r="B195" s="316"/>
      <c r="C195" s="37" t="s">
        <v>379</v>
      </c>
      <c r="D195" s="10" t="s">
        <v>380</v>
      </c>
      <c r="E195" s="50" t="s">
        <v>525</v>
      </c>
      <c r="F195" s="62">
        <f t="shared" si="3"/>
        <v>0</v>
      </c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9"/>
      <c r="AC195" s="49"/>
      <c r="AD195" s="49"/>
      <c r="AE195" s="49"/>
      <c r="AF195" s="49"/>
      <c r="AG195" s="49"/>
      <c r="AH195" s="49"/>
      <c r="AI195" s="49"/>
      <c r="AJ195" s="49"/>
      <c r="AK195" s="49"/>
    </row>
    <row r="196" spans="1:37" ht="26.4" x14ac:dyDescent="0.4">
      <c r="A196" s="3">
        <v>106</v>
      </c>
      <c r="B196" s="314" t="s">
        <v>381</v>
      </c>
      <c r="C196" s="37" t="s">
        <v>382</v>
      </c>
      <c r="D196" s="10" t="s">
        <v>383</v>
      </c>
      <c r="E196" s="50" t="s">
        <v>525</v>
      </c>
      <c r="F196" s="62">
        <f t="shared" si="3"/>
        <v>0</v>
      </c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9"/>
      <c r="AC196" s="49"/>
      <c r="AD196" s="49"/>
      <c r="AE196" s="49"/>
      <c r="AF196" s="49"/>
      <c r="AG196" s="49"/>
      <c r="AH196" s="49"/>
      <c r="AI196" s="49"/>
      <c r="AJ196" s="49"/>
      <c r="AK196" s="49"/>
    </row>
    <row r="197" spans="1:37" ht="26.4" x14ac:dyDescent="0.4">
      <c r="A197" s="3">
        <v>107</v>
      </c>
      <c r="B197" s="315"/>
      <c r="C197" s="37" t="s">
        <v>384</v>
      </c>
      <c r="D197" s="10" t="s">
        <v>385</v>
      </c>
      <c r="E197" s="50" t="s">
        <v>525</v>
      </c>
      <c r="F197" s="62">
        <f t="shared" si="3"/>
        <v>0</v>
      </c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9"/>
      <c r="AC197" s="49"/>
      <c r="AD197" s="49"/>
      <c r="AE197" s="49"/>
      <c r="AF197" s="49"/>
      <c r="AG197" s="49"/>
      <c r="AH197" s="49"/>
      <c r="AI197" s="49"/>
      <c r="AJ197" s="49"/>
      <c r="AK197" s="49"/>
    </row>
    <row r="198" spans="1:37" ht="26.4" x14ac:dyDescent="0.4">
      <c r="A198" s="3">
        <v>108</v>
      </c>
      <c r="B198" s="315"/>
      <c r="C198" s="37" t="s">
        <v>386</v>
      </c>
      <c r="D198" s="10" t="s">
        <v>387</v>
      </c>
      <c r="E198" s="50" t="s">
        <v>525</v>
      </c>
      <c r="F198" s="62">
        <f t="shared" si="3"/>
        <v>0</v>
      </c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</row>
    <row r="199" spans="1:37" ht="26.4" x14ac:dyDescent="0.4">
      <c r="A199" s="3">
        <v>109</v>
      </c>
      <c r="B199" s="315"/>
      <c r="C199" s="37" t="s">
        <v>388</v>
      </c>
      <c r="D199" s="10" t="s">
        <v>389</v>
      </c>
      <c r="E199" s="50" t="s">
        <v>525</v>
      </c>
      <c r="F199" s="62">
        <f t="shared" si="3"/>
        <v>0</v>
      </c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9"/>
      <c r="AC199" s="49"/>
      <c r="AD199" s="49"/>
      <c r="AE199" s="49"/>
      <c r="AF199" s="49"/>
      <c r="AG199" s="49"/>
      <c r="AH199" s="49"/>
      <c r="AI199" s="49"/>
      <c r="AJ199" s="49"/>
      <c r="AK199" s="49"/>
    </row>
    <row r="200" spans="1:37" ht="26.4" x14ac:dyDescent="0.4">
      <c r="A200" s="3">
        <v>110</v>
      </c>
      <c r="B200" s="315"/>
      <c r="C200" s="37" t="s">
        <v>390</v>
      </c>
      <c r="D200" s="10" t="s">
        <v>391</v>
      </c>
      <c r="E200" s="50" t="s">
        <v>525</v>
      </c>
      <c r="F200" s="62">
        <f t="shared" si="3"/>
        <v>0</v>
      </c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9"/>
      <c r="AC200" s="49"/>
      <c r="AD200" s="49"/>
      <c r="AE200" s="49"/>
      <c r="AF200" s="49"/>
      <c r="AG200" s="49"/>
      <c r="AH200" s="49"/>
      <c r="AI200" s="49"/>
      <c r="AJ200" s="49"/>
      <c r="AK200" s="49"/>
    </row>
    <row r="201" spans="1:37" ht="26.4" x14ac:dyDescent="0.4">
      <c r="A201" s="3">
        <v>111</v>
      </c>
      <c r="B201" s="315"/>
      <c r="C201" s="37" t="s">
        <v>392</v>
      </c>
      <c r="D201" s="10" t="s">
        <v>393</v>
      </c>
      <c r="E201" s="50" t="s">
        <v>525</v>
      </c>
      <c r="F201" s="62">
        <f t="shared" si="3"/>
        <v>0</v>
      </c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49"/>
      <c r="AB201" s="49"/>
      <c r="AC201" s="49"/>
      <c r="AD201" s="49"/>
      <c r="AE201" s="49"/>
      <c r="AF201" s="49"/>
      <c r="AG201" s="49"/>
      <c r="AH201" s="49"/>
      <c r="AI201" s="49"/>
      <c r="AJ201" s="49"/>
      <c r="AK201" s="49"/>
    </row>
    <row r="202" spans="1:37" ht="26.4" x14ac:dyDescent="0.4">
      <c r="A202" s="3">
        <v>112</v>
      </c>
      <c r="B202" s="315"/>
      <c r="C202" s="37" t="s">
        <v>394</v>
      </c>
      <c r="D202" s="10" t="s">
        <v>395</v>
      </c>
      <c r="E202" s="50" t="s">
        <v>525</v>
      </c>
      <c r="F202" s="62">
        <f t="shared" si="3"/>
        <v>0</v>
      </c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9"/>
      <c r="AC202" s="49"/>
      <c r="AD202" s="49"/>
      <c r="AE202" s="49"/>
      <c r="AF202" s="49"/>
      <c r="AG202" s="49"/>
      <c r="AH202" s="49"/>
      <c r="AI202" s="49"/>
      <c r="AJ202" s="49"/>
      <c r="AK202" s="49"/>
    </row>
    <row r="203" spans="1:37" ht="26.4" x14ac:dyDescent="0.4">
      <c r="A203" s="3">
        <v>113</v>
      </c>
      <c r="B203" s="315"/>
      <c r="C203" s="37" t="s">
        <v>396</v>
      </c>
      <c r="D203" s="10" t="s">
        <v>397</v>
      </c>
      <c r="E203" s="50" t="s">
        <v>525</v>
      </c>
      <c r="F203" s="62">
        <f t="shared" si="3"/>
        <v>0</v>
      </c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49"/>
      <c r="AG203" s="49"/>
      <c r="AH203" s="49"/>
      <c r="AI203" s="49"/>
      <c r="AJ203" s="49"/>
      <c r="AK203" s="49"/>
    </row>
    <row r="204" spans="1:37" ht="26.4" x14ac:dyDescent="0.4">
      <c r="A204" s="3">
        <v>114</v>
      </c>
      <c r="B204" s="316"/>
      <c r="C204" s="37" t="s">
        <v>398</v>
      </c>
      <c r="D204" s="10" t="s">
        <v>399</v>
      </c>
      <c r="E204" s="50" t="s">
        <v>525</v>
      </c>
      <c r="F204" s="62">
        <f t="shared" si="3"/>
        <v>0</v>
      </c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49"/>
      <c r="AG204" s="49"/>
      <c r="AH204" s="49"/>
      <c r="AI204" s="49"/>
      <c r="AJ204" s="49"/>
      <c r="AK204" s="49"/>
    </row>
    <row r="205" spans="1:37" ht="26.4" x14ac:dyDescent="0.4">
      <c r="A205" s="3">
        <v>115</v>
      </c>
      <c r="B205" s="314" t="s">
        <v>400</v>
      </c>
      <c r="C205" s="37" t="s">
        <v>401</v>
      </c>
      <c r="D205" s="10" t="s">
        <v>402</v>
      </c>
      <c r="E205" s="50" t="s">
        <v>525</v>
      </c>
      <c r="F205" s="62">
        <f t="shared" si="3"/>
        <v>0</v>
      </c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  <c r="AK205" s="49"/>
    </row>
    <row r="206" spans="1:37" ht="26.4" x14ac:dyDescent="0.4">
      <c r="A206" s="3">
        <v>116</v>
      </c>
      <c r="B206" s="315"/>
      <c r="C206" s="37" t="s">
        <v>403</v>
      </c>
      <c r="D206" s="10" t="s">
        <v>404</v>
      </c>
      <c r="E206" s="50" t="s">
        <v>525</v>
      </c>
      <c r="F206" s="62">
        <f t="shared" si="3"/>
        <v>0</v>
      </c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49"/>
      <c r="AG206" s="49"/>
      <c r="AH206" s="49"/>
      <c r="AI206" s="49"/>
      <c r="AJ206" s="49"/>
      <c r="AK206" s="49"/>
    </row>
    <row r="207" spans="1:37" ht="26.4" x14ac:dyDescent="0.4">
      <c r="A207" s="3">
        <v>117</v>
      </c>
      <c r="B207" s="315"/>
      <c r="C207" s="37" t="s">
        <v>405</v>
      </c>
      <c r="D207" s="10" t="s">
        <v>406</v>
      </c>
      <c r="E207" s="50" t="s">
        <v>525</v>
      </c>
      <c r="F207" s="62">
        <f t="shared" si="3"/>
        <v>0</v>
      </c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49"/>
      <c r="AG207" s="49"/>
      <c r="AH207" s="49"/>
      <c r="AI207" s="49"/>
      <c r="AJ207" s="49"/>
      <c r="AK207" s="49"/>
    </row>
    <row r="208" spans="1:37" ht="26.4" x14ac:dyDescent="0.4">
      <c r="A208" s="3">
        <v>118</v>
      </c>
      <c r="B208" s="315"/>
      <c r="C208" s="37" t="s">
        <v>407</v>
      </c>
      <c r="D208" s="10" t="s">
        <v>408</v>
      </c>
      <c r="E208" s="50" t="s">
        <v>525</v>
      </c>
      <c r="F208" s="62">
        <f t="shared" si="3"/>
        <v>0</v>
      </c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49"/>
      <c r="AG208" s="49"/>
      <c r="AH208" s="49"/>
      <c r="AI208" s="49"/>
      <c r="AJ208" s="49"/>
      <c r="AK208" s="49"/>
    </row>
    <row r="209" spans="1:37" ht="26.4" x14ac:dyDescent="0.4">
      <c r="A209" s="3">
        <v>119</v>
      </c>
      <c r="B209" s="316"/>
      <c r="C209" s="37" t="s">
        <v>409</v>
      </c>
      <c r="D209" s="10" t="s">
        <v>410</v>
      </c>
      <c r="E209" s="50" t="s">
        <v>525</v>
      </c>
      <c r="F209" s="62">
        <f t="shared" si="3"/>
        <v>0</v>
      </c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  <c r="AJ209" s="49"/>
      <c r="AK209" s="49"/>
    </row>
    <row r="210" spans="1:37" ht="26.4" x14ac:dyDescent="0.4">
      <c r="A210" s="3">
        <v>120</v>
      </c>
      <c r="B210" s="314" t="s">
        <v>411</v>
      </c>
      <c r="C210" s="37" t="s">
        <v>412</v>
      </c>
      <c r="D210" s="10" t="s">
        <v>413</v>
      </c>
      <c r="E210" s="50" t="s">
        <v>525</v>
      </c>
      <c r="F210" s="62">
        <f t="shared" si="3"/>
        <v>0</v>
      </c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49"/>
      <c r="AG210" s="49"/>
      <c r="AH210" s="49"/>
      <c r="AI210" s="49"/>
      <c r="AJ210" s="49"/>
      <c r="AK210" s="49"/>
    </row>
    <row r="211" spans="1:37" ht="26.4" x14ac:dyDescent="0.4">
      <c r="A211" s="3">
        <v>121</v>
      </c>
      <c r="B211" s="315"/>
      <c r="C211" s="37" t="s">
        <v>414</v>
      </c>
      <c r="D211" s="10" t="s">
        <v>415</v>
      </c>
      <c r="E211" s="50" t="s">
        <v>525</v>
      </c>
      <c r="F211" s="62">
        <f t="shared" si="3"/>
        <v>0</v>
      </c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  <c r="AI211" s="49"/>
      <c r="AJ211" s="49"/>
      <c r="AK211" s="49"/>
    </row>
    <row r="212" spans="1:37" ht="26.4" x14ac:dyDescent="0.4">
      <c r="A212" s="3">
        <v>122</v>
      </c>
      <c r="B212" s="315"/>
      <c r="C212" s="37" t="s">
        <v>416</v>
      </c>
      <c r="D212" s="10" t="s">
        <v>417</v>
      </c>
      <c r="E212" s="50" t="s">
        <v>525</v>
      </c>
      <c r="F212" s="62">
        <f t="shared" si="3"/>
        <v>0</v>
      </c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49"/>
      <c r="AG212" s="49"/>
      <c r="AH212" s="49"/>
      <c r="AI212" s="49"/>
      <c r="AJ212" s="49"/>
      <c r="AK212" s="49"/>
    </row>
    <row r="213" spans="1:37" ht="26.4" x14ac:dyDescent="0.4">
      <c r="A213" s="3">
        <v>123</v>
      </c>
      <c r="B213" s="315"/>
      <c r="C213" s="37" t="s">
        <v>418</v>
      </c>
      <c r="D213" s="10" t="s">
        <v>419</v>
      </c>
      <c r="E213" s="50" t="s">
        <v>525</v>
      </c>
      <c r="F213" s="62">
        <f t="shared" si="3"/>
        <v>0</v>
      </c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49"/>
      <c r="AE213" s="49"/>
      <c r="AF213" s="49"/>
      <c r="AG213" s="49"/>
      <c r="AH213" s="49"/>
      <c r="AI213" s="49"/>
      <c r="AJ213" s="49"/>
      <c r="AK213" s="49"/>
    </row>
    <row r="214" spans="1:37" ht="26.4" x14ac:dyDescent="0.4">
      <c r="A214" s="3">
        <v>124</v>
      </c>
      <c r="B214" s="315"/>
      <c r="C214" s="37" t="s">
        <v>420</v>
      </c>
      <c r="D214" s="10" t="s">
        <v>421</v>
      </c>
      <c r="E214" s="50" t="s">
        <v>525</v>
      </c>
      <c r="F214" s="62">
        <f t="shared" si="3"/>
        <v>0</v>
      </c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49"/>
      <c r="AG214" s="49"/>
      <c r="AH214" s="49"/>
      <c r="AI214" s="49"/>
      <c r="AJ214" s="49"/>
      <c r="AK214" s="49"/>
    </row>
    <row r="215" spans="1:37" ht="26.4" x14ac:dyDescent="0.4">
      <c r="A215" s="3">
        <v>125</v>
      </c>
      <c r="B215" s="315"/>
      <c r="C215" s="37" t="s">
        <v>422</v>
      </c>
      <c r="D215" s="10" t="s">
        <v>423</v>
      </c>
      <c r="E215" s="50" t="s">
        <v>525</v>
      </c>
      <c r="F215" s="62">
        <f t="shared" si="3"/>
        <v>0</v>
      </c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</row>
    <row r="216" spans="1:37" ht="26.4" x14ac:dyDescent="0.4">
      <c r="A216" s="3">
        <v>126</v>
      </c>
      <c r="B216" s="315"/>
      <c r="C216" s="37" t="s">
        <v>424</v>
      </c>
      <c r="D216" s="10" t="s">
        <v>425</v>
      </c>
      <c r="E216" s="50" t="s">
        <v>525</v>
      </c>
      <c r="F216" s="62">
        <f t="shared" si="3"/>
        <v>0</v>
      </c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49"/>
      <c r="AG216" s="49"/>
      <c r="AH216" s="49"/>
      <c r="AI216" s="49"/>
      <c r="AJ216" s="49"/>
      <c r="AK216" s="49"/>
    </row>
    <row r="217" spans="1:37" ht="26.4" x14ac:dyDescent="0.4">
      <c r="A217" s="3">
        <v>127</v>
      </c>
      <c r="B217" s="315"/>
      <c r="C217" s="37" t="s">
        <v>426</v>
      </c>
      <c r="D217" s="10" t="s">
        <v>427</v>
      </c>
      <c r="E217" s="50" t="s">
        <v>525</v>
      </c>
      <c r="F217" s="62">
        <f t="shared" si="3"/>
        <v>0</v>
      </c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49"/>
      <c r="AG217" s="49"/>
      <c r="AH217" s="49"/>
      <c r="AI217" s="49"/>
      <c r="AJ217" s="49"/>
      <c r="AK217" s="49"/>
    </row>
    <row r="218" spans="1:37" ht="26.4" x14ac:dyDescent="0.4">
      <c r="A218" s="3">
        <v>128</v>
      </c>
      <c r="B218" s="316"/>
      <c r="C218" s="37" t="s">
        <v>428</v>
      </c>
      <c r="D218" s="10" t="s">
        <v>429</v>
      </c>
      <c r="E218" s="50" t="s">
        <v>525</v>
      </c>
      <c r="F218" s="62">
        <f t="shared" si="3"/>
        <v>0</v>
      </c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49"/>
      <c r="AG218" s="49"/>
      <c r="AH218" s="49"/>
      <c r="AI218" s="49"/>
      <c r="AJ218" s="49"/>
      <c r="AK218" s="49"/>
    </row>
    <row r="219" spans="1:37" ht="26.4" x14ac:dyDescent="0.4">
      <c r="A219" s="3">
        <v>129</v>
      </c>
      <c r="B219" s="314" t="s">
        <v>430</v>
      </c>
      <c r="C219" s="37" t="s">
        <v>431</v>
      </c>
      <c r="D219" s="10" t="s">
        <v>432</v>
      </c>
      <c r="E219" s="50" t="s">
        <v>525</v>
      </c>
      <c r="F219" s="62">
        <f t="shared" ref="F219:F269" si="4">SUM(G219:AK219)</f>
        <v>0</v>
      </c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49"/>
      <c r="AG219" s="49"/>
      <c r="AH219" s="49"/>
      <c r="AI219" s="49"/>
      <c r="AJ219" s="49"/>
      <c r="AK219" s="49"/>
    </row>
    <row r="220" spans="1:37" ht="26.4" x14ac:dyDescent="0.4">
      <c r="A220" s="3">
        <v>130</v>
      </c>
      <c r="B220" s="315"/>
      <c r="C220" s="37" t="s">
        <v>433</v>
      </c>
      <c r="D220" s="10" t="s">
        <v>434</v>
      </c>
      <c r="E220" s="50" t="s">
        <v>525</v>
      </c>
      <c r="F220" s="62">
        <f t="shared" si="4"/>
        <v>0</v>
      </c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9"/>
      <c r="AC220" s="49"/>
      <c r="AD220" s="49"/>
      <c r="AE220" s="49"/>
      <c r="AF220" s="49"/>
      <c r="AG220" s="49"/>
      <c r="AH220" s="49"/>
      <c r="AI220" s="49"/>
      <c r="AJ220" s="49"/>
      <c r="AK220" s="49"/>
    </row>
    <row r="221" spans="1:37" ht="26.4" x14ac:dyDescent="0.4">
      <c r="A221" s="3">
        <v>131</v>
      </c>
      <c r="B221" s="315"/>
      <c r="C221" s="37" t="s">
        <v>435</v>
      </c>
      <c r="D221" s="10" t="s">
        <v>436</v>
      </c>
      <c r="E221" s="50" t="s">
        <v>525</v>
      </c>
      <c r="F221" s="62">
        <f t="shared" si="4"/>
        <v>0</v>
      </c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49"/>
      <c r="AG221" s="49"/>
      <c r="AH221" s="49"/>
      <c r="AI221" s="49"/>
      <c r="AJ221" s="49"/>
      <c r="AK221" s="49"/>
    </row>
    <row r="222" spans="1:37" ht="26.4" x14ac:dyDescent="0.4">
      <c r="A222" s="3">
        <v>132</v>
      </c>
      <c r="B222" s="315"/>
      <c r="C222" s="37" t="s">
        <v>437</v>
      </c>
      <c r="D222" s="10" t="s">
        <v>438</v>
      </c>
      <c r="E222" s="50" t="s">
        <v>525</v>
      </c>
      <c r="F222" s="62">
        <f t="shared" si="4"/>
        <v>0</v>
      </c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49"/>
      <c r="AG222" s="49"/>
      <c r="AH222" s="49"/>
      <c r="AI222" s="49"/>
      <c r="AJ222" s="49"/>
      <c r="AK222" s="49"/>
    </row>
    <row r="223" spans="1:37" ht="26.4" x14ac:dyDescent="0.4">
      <c r="A223" s="3">
        <v>133</v>
      </c>
      <c r="B223" s="315"/>
      <c r="C223" s="37" t="s">
        <v>439</v>
      </c>
      <c r="D223" s="10" t="s">
        <v>440</v>
      </c>
      <c r="E223" s="50" t="s">
        <v>525</v>
      </c>
      <c r="F223" s="62">
        <f t="shared" si="4"/>
        <v>0</v>
      </c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49"/>
      <c r="AG223" s="49"/>
      <c r="AH223" s="49"/>
      <c r="AI223" s="49"/>
      <c r="AJ223" s="49"/>
      <c r="AK223" s="49"/>
    </row>
    <row r="224" spans="1:37" ht="26.4" x14ac:dyDescent="0.4">
      <c r="A224" s="3">
        <v>134</v>
      </c>
      <c r="B224" s="315"/>
      <c r="C224" s="37" t="s">
        <v>441</v>
      </c>
      <c r="D224" s="10" t="s">
        <v>442</v>
      </c>
      <c r="E224" s="50" t="s">
        <v>525</v>
      </c>
      <c r="F224" s="62">
        <f t="shared" si="4"/>
        <v>0</v>
      </c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  <c r="AK224" s="49"/>
    </row>
    <row r="225" spans="1:37" ht="26.4" x14ac:dyDescent="0.4">
      <c r="A225" s="3">
        <v>135</v>
      </c>
      <c r="B225" s="315"/>
      <c r="C225" s="37" t="s">
        <v>443</v>
      </c>
      <c r="D225" s="10" t="s">
        <v>444</v>
      </c>
      <c r="E225" s="50" t="s">
        <v>525</v>
      </c>
      <c r="F225" s="62">
        <f t="shared" si="4"/>
        <v>0</v>
      </c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49"/>
      <c r="AG225" s="49"/>
      <c r="AH225" s="49"/>
      <c r="AI225" s="49"/>
      <c r="AJ225" s="49"/>
      <c r="AK225" s="49"/>
    </row>
    <row r="226" spans="1:37" ht="26.4" x14ac:dyDescent="0.4">
      <c r="A226" s="3">
        <v>136</v>
      </c>
      <c r="B226" s="315"/>
      <c r="C226" s="37" t="s">
        <v>445</v>
      </c>
      <c r="D226" s="10" t="s">
        <v>446</v>
      </c>
      <c r="E226" s="50" t="s">
        <v>525</v>
      </c>
      <c r="F226" s="62">
        <f t="shared" si="4"/>
        <v>0</v>
      </c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49"/>
      <c r="AE226" s="49"/>
      <c r="AF226" s="49"/>
      <c r="AG226" s="49"/>
      <c r="AH226" s="49"/>
      <c r="AI226" s="49"/>
      <c r="AJ226" s="49"/>
      <c r="AK226" s="49"/>
    </row>
    <row r="227" spans="1:37" ht="26.4" x14ac:dyDescent="0.4">
      <c r="A227" s="3">
        <v>137</v>
      </c>
      <c r="B227" s="316"/>
      <c r="C227" s="37" t="s">
        <v>447</v>
      </c>
      <c r="D227" s="10" t="s">
        <v>448</v>
      </c>
      <c r="E227" s="50" t="s">
        <v>525</v>
      </c>
      <c r="F227" s="62">
        <f t="shared" si="4"/>
        <v>0</v>
      </c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49"/>
      <c r="AE227" s="49"/>
      <c r="AF227" s="49"/>
      <c r="AG227" s="49"/>
      <c r="AH227" s="49"/>
      <c r="AI227" s="49"/>
      <c r="AJ227" s="49"/>
      <c r="AK227" s="49"/>
    </row>
    <row r="228" spans="1:37" ht="26.4" x14ac:dyDescent="0.4">
      <c r="A228" s="3">
        <v>138</v>
      </c>
      <c r="B228" s="314" t="s">
        <v>449</v>
      </c>
      <c r="C228" s="37" t="s">
        <v>450</v>
      </c>
      <c r="D228" s="10" t="s">
        <v>451</v>
      </c>
      <c r="E228" s="50" t="s">
        <v>525</v>
      </c>
      <c r="F228" s="62">
        <f t="shared" si="4"/>
        <v>0</v>
      </c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49"/>
      <c r="AE228" s="49"/>
      <c r="AF228" s="49"/>
      <c r="AG228" s="49"/>
      <c r="AH228" s="49"/>
      <c r="AI228" s="49"/>
      <c r="AJ228" s="49"/>
      <c r="AK228" s="49"/>
    </row>
    <row r="229" spans="1:37" ht="26.4" x14ac:dyDescent="0.4">
      <c r="A229" s="3">
        <v>139</v>
      </c>
      <c r="B229" s="315"/>
      <c r="C229" s="37" t="s">
        <v>452</v>
      </c>
      <c r="D229" s="10" t="s">
        <v>453</v>
      </c>
      <c r="E229" s="50" t="s">
        <v>525</v>
      </c>
      <c r="F229" s="62">
        <f t="shared" si="4"/>
        <v>0</v>
      </c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49"/>
      <c r="AE229" s="49"/>
      <c r="AF229" s="49"/>
      <c r="AG229" s="49"/>
      <c r="AH229" s="49"/>
      <c r="AI229" s="49"/>
      <c r="AJ229" s="49"/>
      <c r="AK229" s="49"/>
    </row>
    <row r="230" spans="1:37" ht="26.4" x14ac:dyDescent="0.4">
      <c r="A230" s="3">
        <v>140</v>
      </c>
      <c r="B230" s="315"/>
      <c r="C230" s="37" t="s">
        <v>454</v>
      </c>
      <c r="D230" s="10" t="s">
        <v>455</v>
      </c>
      <c r="E230" s="50" t="s">
        <v>525</v>
      </c>
      <c r="F230" s="62">
        <f t="shared" si="4"/>
        <v>0</v>
      </c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49"/>
      <c r="AE230" s="49"/>
      <c r="AF230" s="49"/>
      <c r="AG230" s="49"/>
      <c r="AH230" s="49"/>
      <c r="AI230" s="49"/>
      <c r="AJ230" s="49"/>
      <c r="AK230" s="49"/>
    </row>
    <row r="231" spans="1:37" ht="26.4" x14ac:dyDescent="0.4">
      <c r="A231" s="3">
        <v>141</v>
      </c>
      <c r="B231" s="315"/>
      <c r="C231" s="37" t="s">
        <v>456</v>
      </c>
      <c r="D231" s="10" t="s">
        <v>457</v>
      </c>
      <c r="E231" s="50" t="s">
        <v>525</v>
      </c>
      <c r="F231" s="62">
        <f t="shared" si="4"/>
        <v>0</v>
      </c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49"/>
      <c r="AE231" s="49"/>
      <c r="AF231" s="49"/>
      <c r="AG231" s="49"/>
      <c r="AH231" s="49"/>
      <c r="AI231" s="49"/>
      <c r="AJ231" s="49"/>
      <c r="AK231" s="49"/>
    </row>
    <row r="232" spans="1:37" ht="26.4" x14ac:dyDescent="0.4">
      <c r="A232" s="3">
        <v>142</v>
      </c>
      <c r="B232" s="316"/>
      <c r="C232" s="37" t="s">
        <v>458</v>
      </c>
      <c r="D232" s="10" t="s">
        <v>459</v>
      </c>
      <c r="E232" s="50" t="s">
        <v>525</v>
      </c>
      <c r="F232" s="62">
        <f t="shared" si="4"/>
        <v>0</v>
      </c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9"/>
      <c r="AC232" s="49"/>
      <c r="AD232" s="49"/>
      <c r="AE232" s="49"/>
      <c r="AF232" s="49"/>
      <c r="AG232" s="49"/>
      <c r="AH232" s="49"/>
      <c r="AI232" s="49"/>
      <c r="AJ232" s="49"/>
      <c r="AK232" s="49"/>
    </row>
    <row r="233" spans="1:37" ht="26.4" x14ac:dyDescent="0.4">
      <c r="A233" s="3">
        <v>143</v>
      </c>
      <c r="B233" s="314" t="s">
        <v>460</v>
      </c>
      <c r="C233" s="37" t="s">
        <v>461</v>
      </c>
      <c r="D233" s="10" t="s">
        <v>462</v>
      </c>
      <c r="E233" s="50" t="s">
        <v>525</v>
      </c>
      <c r="F233" s="62">
        <f t="shared" si="4"/>
        <v>0</v>
      </c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9"/>
      <c r="AC233" s="49"/>
      <c r="AD233" s="49"/>
      <c r="AE233" s="49"/>
      <c r="AF233" s="49"/>
      <c r="AG233" s="49"/>
      <c r="AH233" s="49"/>
      <c r="AI233" s="49"/>
      <c r="AJ233" s="49"/>
      <c r="AK233" s="49"/>
    </row>
    <row r="234" spans="1:37" ht="26.4" x14ac:dyDescent="0.4">
      <c r="A234" s="3">
        <v>144</v>
      </c>
      <c r="B234" s="315"/>
      <c r="C234" s="37" t="s">
        <v>463</v>
      </c>
      <c r="D234" s="10" t="s">
        <v>464</v>
      </c>
      <c r="E234" s="50" t="s">
        <v>525</v>
      </c>
      <c r="F234" s="62">
        <f t="shared" si="4"/>
        <v>0</v>
      </c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9"/>
      <c r="AC234" s="49"/>
      <c r="AD234" s="49"/>
      <c r="AE234" s="49"/>
      <c r="AF234" s="49"/>
      <c r="AG234" s="49"/>
      <c r="AH234" s="49"/>
      <c r="AI234" s="49"/>
      <c r="AJ234" s="49"/>
      <c r="AK234" s="49"/>
    </row>
    <row r="235" spans="1:37" ht="26.4" x14ac:dyDescent="0.4">
      <c r="A235" s="3">
        <v>145</v>
      </c>
      <c r="B235" s="315"/>
      <c r="C235" s="37" t="s">
        <v>465</v>
      </c>
      <c r="D235" s="10" t="s">
        <v>466</v>
      </c>
      <c r="E235" s="50" t="s">
        <v>525</v>
      </c>
      <c r="F235" s="62">
        <f t="shared" si="4"/>
        <v>0</v>
      </c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9"/>
      <c r="AC235" s="49"/>
      <c r="AD235" s="49"/>
      <c r="AE235" s="49"/>
      <c r="AF235" s="49"/>
      <c r="AG235" s="49"/>
      <c r="AH235" s="49"/>
      <c r="AI235" s="49"/>
      <c r="AJ235" s="49"/>
      <c r="AK235" s="49"/>
    </row>
    <row r="236" spans="1:37" ht="26.4" x14ac:dyDescent="0.4">
      <c r="A236" s="3">
        <v>146</v>
      </c>
      <c r="B236" s="315"/>
      <c r="C236" s="37" t="s">
        <v>467</v>
      </c>
      <c r="D236" s="10" t="s">
        <v>468</v>
      </c>
      <c r="E236" s="50" t="s">
        <v>525</v>
      </c>
      <c r="F236" s="62">
        <f t="shared" si="4"/>
        <v>0</v>
      </c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9"/>
      <c r="AC236" s="49"/>
      <c r="AD236" s="49"/>
      <c r="AE236" s="49"/>
      <c r="AF236" s="49"/>
      <c r="AG236" s="49"/>
      <c r="AH236" s="49"/>
      <c r="AI236" s="49"/>
      <c r="AJ236" s="49"/>
      <c r="AK236" s="49"/>
    </row>
    <row r="237" spans="1:37" ht="26.4" x14ac:dyDescent="0.4">
      <c r="A237" s="3">
        <v>147</v>
      </c>
      <c r="B237" s="315"/>
      <c r="C237" s="37" t="s">
        <v>469</v>
      </c>
      <c r="D237" s="10" t="s">
        <v>470</v>
      </c>
      <c r="E237" s="50" t="s">
        <v>525</v>
      </c>
      <c r="F237" s="62">
        <f t="shared" si="4"/>
        <v>0</v>
      </c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9"/>
      <c r="AC237" s="49"/>
      <c r="AD237" s="49"/>
      <c r="AE237" s="49"/>
      <c r="AF237" s="49"/>
      <c r="AG237" s="49"/>
      <c r="AH237" s="49"/>
      <c r="AI237" s="49"/>
      <c r="AJ237" s="49"/>
      <c r="AK237" s="49"/>
    </row>
    <row r="238" spans="1:37" ht="26.4" x14ac:dyDescent="0.4">
      <c r="A238" s="3">
        <v>148</v>
      </c>
      <c r="B238" s="315"/>
      <c r="C238" s="37" t="s">
        <v>471</v>
      </c>
      <c r="D238" s="10" t="s">
        <v>472</v>
      </c>
      <c r="E238" s="50" t="s">
        <v>525</v>
      </c>
      <c r="F238" s="62">
        <f t="shared" si="4"/>
        <v>0</v>
      </c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49"/>
      <c r="AB238" s="49"/>
      <c r="AC238" s="49"/>
      <c r="AD238" s="49"/>
      <c r="AE238" s="49"/>
      <c r="AF238" s="49"/>
      <c r="AG238" s="49"/>
      <c r="AH238" s="49"/>
      <c r="AI238" s="49"/>
      <c r="AJ238" s="49"/>
      <c r="AK238" s="49"/>
    </row>
    <row r="239" spans="1:37" ht="26.4" x14ac:dyDescent="0.4">
      <c r="A239" s="3">
        <v>149</v>
      </c>
      <c r="B239" s="315"/>
      <c r="C239" s="37" t="s">
        <v>473</v>
      </c>
      <c r="D239" s="10" t="s">
        <v>474</v>
      </c>
      <c r="E239" s="50" t="s">
        <v>525</v>
      </c>
      <c r="F239" s="62">
        <f t="shared" si="4"/>
        <v>0</v>
      </c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9"/>
      <c r="AC239" s="49"/>
      <c r="AD239" s="49"/>
      <c r="AE239" s="49"/>
      <c r="AF239" s="49"/>
      <c r="AG239" s="49"/>
      <c r="AH239" s="49"/>
      <c r="AI239" s="49"/>
      <c r="AJ239" s="49"/>
      <c r="AK239" s="49"/>
    </row>
    <row r="240" spans="1:37" ht="26.4" x14ac:dyDescent="0.4">
      <c r="A240" s="3">
        <v>150</v>
      </c>
      <c r="B240" s="315"/>
      <c r="C240" s="37" t="s">
        <v>475</v>
      </c>
      <c r="D240" s="10" t="s">
        <v>476</v>
      </c>
      <c r="E240" s="50" t="s">
        <v>525</v>
      </c>
      <c r="F240" s="62">
        <f t="shared" si="4"/>
        <v>0</v>
      </c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49"/>
      <c r="AB240" s="49"/>
      <c r="AC240" s="49"/>
      <c r="AD240" s="49"/>
      <c r="AE240" s="49"/>
      <c r="AF240" s="49"/>
      <c r="AG240" s="49"/>
      <c r="AH240" s="49"/>
      <c r="AI240" s="49"/>
      <c r="AJ240" s="49"/>
      <c r="AK240" s="49"/>
    </row>
    <row r="241" spans="1:37" ht="26.4" x14ac:dyDescent="0.4">
      <c r="A241" s="3">
        <v>151</v>
      </c>
      <c r="B241" s="315"/>
      <c r="C241" s="37" t="s">
        <v>477</v>
      </c>
      <c r="D241" s="10" t="s">
        <v>478</v>
      </c>
      <c r="E241" s="50" t="s">
        <v>525</v>
      </c>
      <c r="F241" s="62">
        <f t="shared" si="4"/>
        <v>0</v>
      </c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49"/>
      <c r="AB241" s="49"/>
      <c r="AC241" s="49"/>
      <c r="AD241" s="49"/>
      <c r="AE241" s="49"/>
      <c r="AF241" s="49"/>
      <c r="AG241" s="49"/>
      <c r="AH241" s="49"/>
      <c r="AI241" s="49"/>
      <c r="AJ241" s="49"/>
      <c r="AK241" s="49"/>
    </row>
    <row r="242" spans="1:37" ht="26.4" x14ac:dyDescent="0.4">
      <c r="A242" s="3">
        <v>152</v>
      </c>
      <c r="B242" s="315"/>
      <c r="C242" s="37" t="s">
        <v>479</v>
      </c>
      <c r="D242" s="10" t="s">
        <v>480</v>
      </c>
      <c r="E242" s="50" t="s">
        <v>525</v>
      </c>
      <c r="F242" s="62">
        <f t="shared" si="4"/>
        <v>0</v>
      </c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49"/>
      <c r="AB242" s="49"/>
      <c r="AC242" s="49"/>
      <c r="AD242" s="49"/>
      <c r="AE242" s="49"/>
      <c r="AF242" s="49"/>
      <c r="AG242" s="49"/>
      <c r="AH242" s="49"/>
      <c r="AI242" s="49"/>
      <c r="AJ242" s="49"/>
      <c r="AK242" s="49"/>
    </row>
    <row r="243" spans="1:37" ht="26.4" x14ac:dyDescent="0.4">
      <c r="A243" s="3">
        <v>153</v>
      </c>
      <c r="B243" s="315"/>
      <c r="C243" s="37" t="s">
        <v>481</v>
      </c>
      <c r="D243" s="10" t="s">
        <v>451</v>
      </c>
      <c r="E243" s="50" t="s">
        <v>525</v>
      </c>
      <c r="F243" s="62">
        <f t="shared" si="4"/>
        <v>0</v>
      </c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49"/>
      <c r="AB243" s="49"/>
      <c r="AC243" s="49"/>
      <c r="AD243" s="49"/>
      <c r="AE243" s="49"/>
      <c r="AF243" s="49"/>
      <c r="AG243" s="49"/>
      <c r="AH243" s="49"/>
      <c r="AI243" s="49"/>
      <c r="AJ243" s="49"/>
      <c r="AK243" s="49"/>
    </row>
    <row r="244" spans="1:37" ht="26.4" x14ac:dyDescent="0.4">
      <c r="A244" s="3">
        <v>154</v>
      </c>
      <c r="B244" s="315"/>
      <c r="C244" s="37" t="s">
        <v>482</v>
      </c>
      <c r="D244" s="10" t="s">
        <v>483</v>
      </c>
      <c r="E244" s="50" t="s">
        <v>525</v>
      </c>
      <c r="F244" s="62">
        <f t="shared" si="4"/>
        <v>0</v>
      </c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49"/>
      <c r="AB244" s="49"/>
      <c r="AC244" s="49"/>
      <c r="AD244" s="49"/>
      <c r="AE244" s="49"/>
      <c r="AF244" s="49"/>
      <c r="AG244" s="49"/>
      <c r="AH244" s="49"/>
      <c r="AI244" s="49"/>
      <c r="AJ244" s="49"/>
      <c r="AK244" s="49"/>
    </row>
    <row r="245" spans="1:37" ht="26.4" x14ac:dyDescent="0.4">
      <c r="A245" s="3">
        <v>155</v>
      </c>
      <c r="B245" s="315"/>
      <c r="C245" s="37" t="s">
        <v>484</v>
      </c>
      <c r="D245" s="10" t="s">
        <v>485</v>
      </c>
      <c r="E245" s="50" t="s">
        <v>525</v>
      </c>
      <c r="F245" s="62">
        <f t="shared" si="4"/>
        <v>0</v>
      </c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49"/>
      <c r="AB245" s="49"/>
      <c r="AC245" s="49"/>
      <c r="AD245" s="49"/>
      <c r="AE245" s="49"/>
      <c r="AF245" s="49"/>
      <c r="AG245" s="49"/>
      <c r="AH245" s="49"/>
      <c r="AI245" s="49"/>
      <c r="AJ245" s="49"/>
      <c r="AK245" s="49"/>
    </row>
    <row r="246" spans="1:37" ht="26.4" x14ac:dyDescent="0.4">
      <c r="A246" s="3">
        <v>156</v>
      </c>
      <c r="B246" s="315"/>
      <c r="C246" s="37" t="s">
        <v>486</v>
      </c>
      <c r="D246" s="10" t="s">
        <v>487</v>
      </c>
      <c r="E246" s="50" t="s">
        <v>525</v>
      </c>
      <c r="F246" s="62">
        <f t="shared" si="4"/>
        <v>0</v>
      </c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49"/>
      <c r="AB246" s="49"/>
      <c r="AC246" s="49"/>
      <c r="AD246" s="49"/>
      <c r="AE246" s="49"/>
      <c r="AF246" s="49"/>
      <c r="AG246" s="49"/>
      <c r="AH246" s="49"/>
      <c r="AI246" s="49"/>
      <c r="AJ246" s="49"/>
      <c r="AK246" s="49"/>
    </row>
    <row r="247" spans="1:37" ht="26.4" x14ac:dyDescent="0.4">
      <c r="A247" s="3">
        <v>157</v>
      </c>
      <c r="B247" s="315"/>
      <c r="C247" s="37" t="s">
        <v>481</v>
      </c>
      <c r="D247" s="10" t="s">
        <v>488</v>
      </c>
      <c r="E247" s="50" t="s">
        <v>525</v>
      </c>
      <c r="F247" s="62">
        <f t="shared" si="4"/>
        <v>0</v>
      </c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49"/>
      <c r="AB247" s="49"/>
      <c r="AC247" s="49"/>
      <c r="AD247" s="49"/>
      <c r="AE247" s="49"/>
      <c r="AF247" s="49"/>
      <c r="AG247" s="49"/>
      <c r="AH247" s="49"/>
      <c r="AI247" s="49"/>
      <c r="AJ247" s="49"/>
      <c r="AK247" s="49"/>
    </row>
    <row r="248" spans="1:37" ht="26.4" x14ac:dyDescent="0.4">
      <c r="A248" s="3">
        <v>158</v>
      </c>
      <c r="B248" s="315"/>
      <c r="C248" s="37" t="s">
        <v>482</v>
      </c>
      <c r="D248" s="10" t="s">
        <v>489</v>
      </c>
      <c r="E248" s="50" t="s">
        <v>525</v>
      </c>
      <c r="F248" s="62">
        <f t="shared" si="4"/>
        <v>0</v>
      </c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9"/>
      <c r="AC248" s="49"/>
      <c r="AD248" s="49"/>
      <c r="AE248" s="49"/>
      <c r="AF248" s="49"/>
      <c r="AG248" s="49"/>
      <c r="AH248" s="49"/>
      <c r="AI248" s="49"/>
      <c r="AJ248" s="49"/>
      <c r="AK248" s="49"/>
    </row>
    <row r="249" spans="1:37" ht="26.4" x14ac:dyDescent="0.4">
      <c r="A249" s="3">
        <v>159</v>
      </c>
      <c r="B249" s="315"/>
      <c r="C249" s="37" t="s">
        <v>484</v>
      </c>
      <c r="D249" s="10" t="s">
        <v>490</v>
      </c>
      <c r="E249" s="50" t="s">
        <v>525</v>
      </c>
      <c r="F249" s="62">
        <f t="shared" si="4"/>
        <v>0</v>
      </c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49"/>
      <c r="AB249" s="49"/>
      <c r="AC249" s="49"/>
      <c r="AD249" s="49"/>
      <c r="AE249" s="49"/>
      <c r="AF249" s="49"/>
      <c r="AG249" s="49"/>
      <c r="AH249" s="49"/>
      <c r="AI249" s="49"/>
      <c r="AJ249" s="49"/>
      <c r="AK249" s="49"/>
    </row>
    <row r="250" spans="1:37" ht="26.4" x14ac:dyDescent="0.4">
      <c r="A250" s="3">
        <v>160</v>
      </c>
      <c r="B250" s="316"/>
      <c r="C250" s="37" t="s">
        <v>486</v>
      </c>
      <c r="D250" s="10" t="s">
        <v>491</v>
      </c>
      <c r="E250" s="50" t="s">
        <v>525</v>
      </c>
      <c r="F250" s="62">
        <f t="shared" si="4"/>
        <v>0</v>
      </c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49"/>
      <c r="AB250" s="49"/>
      <c r="AC250" s="49"/>
      <c r="AD250" s="49"/>
      <c r="AE250" s="49"/>
      <c r="AF250" s="49"/>
      <c r="AG250" s="49"/>
      <c r="AH250" s="49"/>
      <c r="AI250" s="49"/>
      <c r="AJ250" s="49"/>
      <c r="AK250" s="49"/>
    </row>
    <row r="251" spans="1:37" ht="26.4" x14ac:dyDescent="0.4">
      <c r="A251" s="3">
        <v>161</v>
      </c>
      <c r="B251" s="41" t="s">
        <v>305</v>
      </c>
      <c r="C251" s="37" t="s">
        <v>492</v>
      </c>
      <c r="D251" s="10" t="s">
        <v>493</v>
      </c>
      <c r="E251" s="50" t="s">
        <v>525</v>
      </c>
      <c r="F251" s="62">
        <f t="shared" si="4"/>
        <v>0</v>
      </c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9"/>
      <c r="AC251" s="49"/>
      <c r="AD251" s="49"/>
      <c r="AE251" s="49"/>
      <c r="AF251" s="49"/>
      <c r="AG251" s="49"/>
      <c r="AH251" s="49"/>
      <c r="AI251" s="49"/>
      <c r="AJ251" s="49"/>
      <c r="AK251" s="49"/>
    </row>
    <row r="252" spans="1:37" ht="26.4" x14ac:dyDescent="0.4">
      <c r="A252" s="3">
        <v>162</v>
      </c>
      <c r="B252" s="45" t="s">
        <v>494</v>
      </c>
      <c r="C252" s="37" t="s">
        <v>495</v>
      </c>
      <c r="D252" s="10" t="s">
        <v>496</v>
      </c>
      <c r="E252" s="50" t="s">
        <v>525</v>
      </c>
      <c r="F252" s="62">
        <f t="shared" si="4"/>
        <v>0</v>
      </c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9"/>
      <c r="AC252" s="49"/>
      <c r="AD252" s="49"/>
      <c r="AE252" s="49"/>
      <c r="AF252" s="49"/>
      <c r="AG252" s="49"/>
      <c r="AH252" s="49"/>
      <c r="AI252" s="49"/>
      <c r="AJ252" s="49"/>
      <c r="AK252" s="49"/>
    </row>
    <row r="253" spans="1:37" ht="26.4" x14ac:dyDescent="0.4">
      <c r="A253" s="3">
        <v>163</v>
      </c>
      <c r="B253" s="41" t="s">
        <v>497</v>
      </c>
      <c r="C253" s="37" t="s">
        <v>498</v>
      </c>
      <c r="D253" s="10" t="s">
        <v>499</v>
      </c>
      <c r="E253" s="50" t="s">
        <v>525</v>
      </c>
      <c r="F253" s="62">
        <f t="shared" si="4"/>
        <v>0</v>
      </c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49"/>
      <c r="AB253" s="49"/>
      <c r="AC253" s="49"/>
      <c r="AD253" s="49"/>
      <c r="AE253" s="49"/>
      <c r="AF253" s="49"/>
      <c r="AG253" s="49"/>
      <c r="AH253" s="49"/>
      <c r="AI253" s="49"/>
      <c r="AJ253" s="49"/>
      <c r="AK253" s="49"/>
    </row>
    <row r="254" spans="1:37" ht="26.4" x14ac:dyDescent="0.4">
      <c r="A254" s="3"/>
      <c r="B254" s="46" t="s">
        <v>500</v>
      </c>
      <c r="C254" s="37" t="s">
        <v>501</v>
      </c>
      <c r="D254" s="10" t="s">
        <v>502</v>
      </c>
      <c r="E254" s="50"/>
      <c r="F254" s="62">
        <f t="shared" si="4"/>
        <v>0</v>
      </c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9"/>
      <c r="AC254" s="49"/>
      <c r="AD254" s="49"/>
      <c r="AE254" s="49"/>
      <c r="AF254" s="49"/>
      <c r="AG254" s="49"/>
      <c r="AH254" s="49"/>
      <c r="AI254" s="49"/>
      <c r="AJ254" s="49"/>
      <c r="AK254" s="49"/>
    </row>
    <row r="255" spans="1:37" ht="26.4" x14ac:dyDescent="0.4">
      <c r="A255" s="3">
        <v>164</v>
      </c>
      <c r="B255" s="341" t="s">
        <v>494</v>
      </c>
      <c r="C255" s="37" t="s">
        <v>503</v>
      </c>
      <c r="D255" s="10" t="s">
        <v>504</v>
      </c>
      <c r="E255" s="50" t="s">
        <v>525</v>
      </c>
      <c r="F255" s="62">
        <f t="shared" si="4"/>
        <v>0</v>
      </c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9"/>
      <c r="AC255" s="49"/>
      <c r="AD255" s="49"/>
      <c r="AE255" s="49"/>
      <c r="AF255" s="49"/>
      <c r="AG255" s="49"/>
      <c r="AH255" s="49"/>
      <c r="AI255" s="49"/>
      <c r="AJ255" s="49"/>
      <c r="AK255" s="49"/>
    </row>
    <row r="256" spans="1:37" ht="26.4" x14ac:dyDescent="0.4">
      <c r="A256" s="3">
        <v>165</v>
      </c>
      <c r="B256" s="342"/>
      <c r="C256" s="37" t="s">
        <v>505</v>
      </c>
      <c r="D256" s="10" t="s">
        <v>506</v>
      </c>
      <c r="E256" s="50" t="s">
        <v>525</v>
      </c>
      <c r="F256" s="62">
        <f t="shared" si="4"/>
        <v>0</v>
      </c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9"/>
      <c r="AC256" s="49"/>
      <c r="AD256" s="49"/>
      <c r="AE256" s="49"/>
      <c r="AF256" s="49"/>
      <c r="AG256" s="49"/>
      <c r="AH256" s="49"/>
      <c r="AI256" s="49"/>
      <c r="AJ256" s="49"/>
      <c r="AK256" s="49"/>
    </row>
    <row r="257" spans="1:37" x14ac:dyDescent="0.4">
      <c r="A257" s="3">
        <v>166</v>
      </c>
      <c r="B257" s="41" t="s">
        <v>305</v>
      </c>
      <c r="C257" s="37">
        <v>426623811</v>
      </c>
      <c r="D257" s="10" t="s">
        <v>507</v>
      </c>
      <c r="E257" s="50" t="s">
        <v>525</v>
      </c>
      <c r="F257" s="62">
        <f t="shared" si="4"/>
        <v>0</v>
      </c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9"/>
      <c r="AD257" s="49"/>
      <c r="AE257" s="49"/>
      <c r="AF257" s="49"/>
      <c r="AG257" s="49"/>
      <c r="AH257" s="49"/>
      <c r="AI257" s="49"/>
      <c r="AJ257" s="49"/>
      <c r="AK257" s="49"/>
    </row>
    <row r="258" spans="1:37" x14ac:dyDescent="0.4">
      <c r="A258" s="3">
        <v>167</v>
      </c>
      <c r="B258" s="341" t="s">
        <v>508</v>
      </c>
      <c r="C258" s="37">
        <v>459464701</v>
      </c>
      <c r="D258" s="10" t="s">
        <v>509</v>
      </c>
      <c r="E258" s="50" t="s">
        <v>525</v>
      </c>
      <c r="F258" s="62">
        <f t="shared" si="4"/>
        <v>0</v>
      </c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9"/>
      <c r="AC258" s="49"/>
      <c r="AD258" s="49"/>
      <c r="AE258" s="49"/>
      <c r="AF258" s="49"/>
      <c r="AG258" s="49"/>
      <c r="AH258" s="49"/>
      <c r="AI258" s="49"/>
      <c r="AJ258" s="49"/>
      <c r="AK258" s="49"/>
    </row>
    <row r="259" spans="1:37" x14ac:dyDescent="0.4">
      <c r="A259" s="3">
        <v>168</v>
      </c>
      <c r="B259" s="342"/>
      <c r="C259" s="37">
        <v>459639901</v>
      </c>
      <c r="D259" s="10" t="s">
        <v>510</v>
      </c>
      <c r="E259" s="50" t="s">
        <v>525</v>
      </c>
      <c r="F259" s="62">
        <f t="shared" si="4"/>
        <v>0</v>
      </c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9"/>
      <c r="AC259" s="49"/>
      <c r="AD259" s="49"/>
      <c r="AE259" s="49"/>
      <c r="AF259" s="49"/>
      <c r="AG259" s="49"/>
      <c r="AH259" s="49"/>
      <c r="AI259" s="49"/>
      <c r="AJ259" s="49"/>
      <c r="AK259" s="49"/>
    </row>
    <row r="260" spans="1:37" ht="26.4" x14ac:dyDescent="0.4">
      <c r="A260" s="3">
        <v>169</v>
      </c>
      <c r="B260" s="145" t="s">
        <v>511</v>
      </c>
      <c r="C260" s="37" t="s">
        <v>512</v>
      </c>
      <c r="D260" s="10" t="s">
        <v>513</v>
      </c>
      <c r="E260" s="50" t="s">
        <v>528</v>
      </c>
      <c r="F260" s="62">
        <f t="shared" si="4"/>
        <v>0</v>
      </c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9"/>
      <c r="AC260" s="49"/>
      <c r="AD260" s="49"/>
      <c r="AE260" s="49"/>
      <c r="AF260" s="49"/>
      <c r="AG260" s="49"/>
      <c r="AH260" s="49"/>
      <c r="AI260" s="49"/>
      <c r="AJ260" s="49"/>
      <c r="AK260" s="49"/>
    </row>
    <row r="261" spans="1:37" x14ac:dyDescent="0.4">
      <c r="A261" s="3">
        <v>170</v>
      </c>
      <c r="B261" s="45" t="s">
        <v>497</v>
      </c>
      <c r="C261" s="47">
        <v>418814402</v>
      </c>
      <c r="D261" s="48" t="s">
        <v>514</v>
      </c>
      <c r="E261" s="50" t="s">
        <v>528</v>
      </c>
      <c r="F261" s="62">
        <f t="shared" si="4"/>
        <v>0</v>
      </c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9"/>
      <c r="AC261" s="49"/>
      <c r="AD261" s="49"/>
      <c r="AE261" s="49"/>
      <c r="AF261" s="49"/>
      <c r="AG261" s="49"/>
      <c r="AH261" s="49"/>
      <c r="AI261" s="49"/>
      <c r="AJ261" s="49"/>
      <c r="AK261" s="49"/>
    </row>
    <row r="262" spans="1:37" x14ac:dyDescent="0.4">
      <c r="A262" s="3">
        <v>171</v>
      </c>
      <c r="B262" s="41" t="s">
        <v>305</v>
      </c>
      <c r="C262" s="37">
        <v>418814402</v>
      </c>
      <c r="D262" s="10" t="s">
        <v>515</v>
      </c>
      <c r="E262" s="50" t="s">
        <v>529</v>
      </c>
      <c r="F262" s="62">
        <f t="shared" si="4"/>
        <v>0</v>
      </c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49"/>
      <c r="AB262" s="49"/>
      <c r="AC262" s="49"/>
      <c r="AD262" s="49"/>
      <c r="AE262" s="49"/>
      <c r="AF262" s="49"/>
      <c r="AG262" s="49"/>
      <c r="AH262" s="49"/>
      <c r="AI262" s="49"/>
      <c r="AJ262" s="49"/>
      <c r="AK262" s="49"/>
    </row>
    <row r="263" spans="1:37" x14ac:dyDescent="0.4">
      <c r="A263" s="3">
        <v>172</v>
      </c>
      <c r="B263" s="45" t="s">
        <v>497</v>
      </c>
      <c r="C263" s="37">
        <v>666549701</v>
      </c>
      <c r="D263" s="10" t="s">
        <v>516</v>
      </c>
      <c r="E263" s="50" t="s">
        <v>529</v>
      </c>
      <c r="F263" s="62">
        <f t="shared" si="4"/>
        <v>0</v>
      </c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9"/>
      <c r="AC263" s="49"/>
      <c r="AD263" s="49"/>
      <c r="AE263" s="49"/>
      <c r="AF263" s="49"/>
      <c r="AG263" s="49"/>
      <c r="AH263" s="49"/>
      <c r="AI263" s="49"/>
      <c r="AJ263" s="49"/>
      <c r="AK263" s="49"/>
    </row>
    <row r="264" spans="1:37" x14ac:dyDescent="0.4">
      <c r="A264" s="3">
        <v>173</v>
      </c>
      <c r="B264" s="41" t="s">
        <v>305</v>
      </c>
      <c r="C264" s="37">
        <v>472740901</v>
      </c>
      <c r="D264" s="10" t="s">
        <v>517</v>
      </c>
      <c r="E264" s="50" t="s">
        <v>530</v>
      </c>
      <c r="F264" s="62">
        <f t="shared" si="4"/>
        <v>0</v>
      </c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49"/>
      <c r="AB264" s="49"/>
      <c r="AC264" s="49"/>
      <c r="AD264" s="49"/>
      <c r="AE264" s="49"/>
      <c r="AF264" s="49"/>
      <c r="AG264" s="49"/>
      <c r="AH264" s="49"/>
      <c r="AI264" s="49"/>
      <c r="AJ264" s="49"/>
      <c r="AK264" s="49"/>
    </row>
    <row r="265" spans="1:37" x14ac:dyDescent="0.4">
      <c r="A265" s="3">
        <v>174</v>
      </c>
      <c r="B265" s="45" t="s">
        <v>497</v>
      </c>
      <c r="C265" s="37">
        <v>666549701</v>
      </c>
      <c r="D265" s="10" t="s">
        <v>518</v>
      </c>
      <c r="E265" s="50" t="s">
        <v>530</v>
      </c>
      <c r="F265" s="62">
        <f t="shared" si="4"/>
        <v>0</v>
      </c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9"/>
      <c r="AC265" s="49"/>
      <c r="AD265" s="49"/>
      <c r="AE265" s="49"/>
      <c r="AF265" s="49"/>
      <c r="AG265" s="49"/>
      <c r="AH265" s="49"/>
      <c r="AI265" s="49"/>
      <c r="AJ265" s="49"/>
      <c r="AK265" s="49"/>
    </row>
    <row r="266" spans="1:37" x14ac:dyDescent="0.4">
      <c r="A266" s="3">
        <v>175</v>
      </c>
      <c r="B266" s="41" t="s">
        <v>305</v>
      </c>
      <c r="C266" s="44" t="s">
        <v>519</v>
      </c>
      <c r="D266" s="10" t="s">
        <v>520</v>
      </c>
      <c r="E266" s="50" t="s">
        <v>525</v>
      </c>
      <c r="F266" s="62">
        <f t="shared" si="4"/>
        <v>0</v>
      </c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9"/>
      <c r="AC266" s="49"/>
      <c r="AD266" s="49"/>
      <c r="AE266" s="49"/>
      <c r="AF266" s="49"/>
      <c r="AG266" s="49"/>
      <c r="AH266" s="49"/>
      <c r="AI266" s="49"/>
      <c r="AJ266" s="49"/>
      <c r="AK266" s="49"/>
    </row>
    <row r="267" spans="1:37" x14ac:dyDescent="0.4">
      <c r="A267" s="3">
        <v>176</v>
      </c>
      <c r="B267" s="41" t="s">
        <v>305</v>
      </c>
      <c r="C267" s="44" t="s">
        <v>521</v>
      </c>
      <c r="D267" s="10" t="s">
        <v>522</v>
      </c>
      <c r="E267" s="50" t="s">
        <v>525</v>
      </c>
      <c r="F267" s="62">
        <f t="shared" si="4"/>
        <v>0</v>
      </c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9"/>
      <c r="AC267" s="49"/>
      <c r="AD267" s="49"/>
      <c r="AE267" s="49"/>
      <c r="AF267" s="49"/>
      <c r="AG267" s="49"/>
      <c r="AH267" s="49"/>
      <c r="AI267" s="49"/>
      <c r="AJ267" s="49"/>
      <c r="AK267" s="49"/>
    </row>
    <row r="268" spans="1:37" x14ac:dyDescent="0.4">
      <c r="A268" s="3">
        <v>177</v>
      </c>
      <c r="B268" s="41" t="s">
        <v>305</v>
      </c>
      <c r="C268" s="44" t="s">
        <v>523</v>
      </c>
      <c r="D268" s="10" t="s">
        <v>524</v>
      </c>
      <c r="E268" s="50" t="s">
        <v>525</v>
      </c>
      <c r="F268" s="62">
        <f t="shared" si="4"/>
        <v>0</v>
      </c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9"/>
      <c r="AC268" s="49"/>
      <c r="AD268" s="49"/>
      <c r="AE268" s="49"/>
      <c r="AF268" s="49"/>
      <c r="AG268" s="49"/>
      <c r="AH268" s="49"/>
      <c r="AI268" s="49"/>
      <c r="AJ268" s="49"/>
      <c r="AK268" s="49"/>
    </row>
    <row r="269" spans="1:37" x14ac:dyDescent="0.4">
      <c r="A269" s="3">
        <v>178</v>
      </c>
      <c r="B269" s="41" t="s">
        <v>497</v>
      </c>
      <c r="C269" s="44">
        <v>469425301</v>
      </c>
      <c r="D269" s="10" t="s">
        <v>535</v>
      </c>
      <c r="E269" s="50" t="s">
        <v>525</v>
      </c>
      <c r="F269" s="62">
        <f t="shared" si="4"/>
        <v>0</v>
      </c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49"/>
      <c r="AB269" s="49"/>
      <c r="AC269" s="49"/>
      <c r="AD269" s="49"/>
      <c r="AE269" s="49"/>
      <c r="AF269" s="49"/>
      <c r="AG269" s="49"/>
      <c r="AH269" s="49"/>
      <c r="AI269" s="49"/>
      <c r="AJ269" s="49"/>
      <c r="AK269" s="49"/>
    </row>
  </sheetData>
  <mergeCells count="50">
    <mergeCell ref="B9:B13"/>
    <mergeCell ref="A1:G2"/>
    <mergeCell ref="F3:F4"/>
    <mergeCell ref="G3:AK3"/>
    <mergeCell ref="A4:D4"/>
    <mergeCell ref="B5:B8"/>
    <mergeCell ref="B56:B60"/>
    <mergeCell ref="B14:B15"/>
    <mergeCell ref="B16:B18"/>
    <mergeCell ref="B19:B23"/>
    <mergeCell ref="B24:B27"/>
    <mergeCell ref="B28:B32"/>
    <mergeCell ref="B34:B37"/>
    <mergeCell ref="B38:B41"/>
    <mergeCell ref="B42:B45"/>
    <mergeCell ref="B46:B47"/>
    <mergeCell ref="B48:B49"/>
    <mergeCell ref="B50:B55"/>
    <mergeCell ref="B120:B124"/>
    <mergeCell ref="B61:B65"/>
    <mergeCell ref="B66:B75"/>
    <mergeCell ref="B76:B78"/>
    <mergeCell ref="B79:B83"/>
    <mergeCell ref="A89:AK89"/>
    <mergeCell ref="B90:B93"/>
    <mergeCell ref="B94:B98"/>
    <mergeCell ref="B99:B100"/>
    <mergeCell ref="B101:B110"/>
    <mergeCell ref="B111:B114"/>
    <mergeCell ref="B115:B119"/>
    <mergeCell ref="B182:B195"/>
    <mergeCell ref="B125:B129"/>
    <mergeCell ref="B130:B134"/>
    <mergeCell ref="B135:B138"/>
    <mergeCell ref="B139:B140"/>
    <mergeCell ref="B141:B146"/>
    <mergeCell ref="B147:B150"/>
    <mergeCell ref="B151:B158"/>
    <mergeCell ref="B159:B160"/>
    <mergeCell ref="B164:B166"/>
    <mergeCell ref="B168:B176"/>
    <mergeCell ref="B177:B181"/>
    <mergeCell ref="B255:B256"/>
    <mergeCell ref="B258:B259"/>
    <mergeCell ref="B196:B204"/>
    <mergeCell ref="B205:B209"/>
    <mergeCell ref="B210:B218"/>
    <mergeCell ref="B219:B227"/>
    <mergeCell ref="B228:B232"/>
    <mergeCell ref="B233:B250"/>
  </mergeCells>
  <phoneticPr fontId="2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L2:N42"/>
  <sheetViews>
    <sheetView workbookViewId="0">
      <selection activeCell="M12" sqref="M12"/>
    </sheetView>
  </sheetViews>
  <sheetFormatPr defaultRowHeight="17.399999999999999" x14ac:dyDescent="0.4"/>
  <cols>
    <col min="11" max="11" width="10.19921875" customWidth="1"/>
    <col min="12" max="12" width="4.59765625" customWidth="1"/>
    <col min="13" max="13" width="43.8984375" customWidth="1"/>
    <col min="14" max="14" width="34" customWidth="1"/>
  </cols>
  <sheetData>
    <row r="2" spans="12:14" x14ac:dyDescent="0.4">
      <c r="L2" s="139" t="s">
        <v>2</v>
      </c>
      <c r="M2" s="139" t="s">
        <v>545</v>
      </c>
      <c r="N2" s="139" t="s">
        <v>546</v>
      </c>
    </row>
    <row r="3" spans="12:14" x14ac:dyDescent="0.4">
      <c r="L3" s="79">
        <v>1</v>
      </c>
      <c r="M3" s="5" t="s">
        <v>39</v>
      </c>
      <c r="N3" s="19"/>
    </row>
    <row r="4" spans="12:14" x14ac:dyDescent="0.4">
      <c r="L4" s="79">
        <v>2</v>
      </c>
      <c r="M4" s="10" t="s">
        <v>58</v>
      </c>
      <c r="N4" s="19"/>
    </row>
    <row r="5" spans="12:14" x14ac:dyDescent="0.4">
      <c r="L5" s="79">
        <v>3</v>
      </c>
      <c r="M5" s="10" t="s">
        <v>63</v>
      </c>
      <c r="N5" s="19" t="s">
        <v>147</v>
      </c>
    </row>
    <row r="6" spans="12:14" x14ac:dyDescent="0.4">
      <c r="L6" s="79">
        <v>4</v>
      </c>
      <c r="M6" s="10" t="s">
        <v>124</v>
      </c>
      <c r="N6" s="19"/>
    </row>
    <row r="7" spans="12:14" x14ac:dyDescent="0.4">
      <c r="L7" s="79">
        <v>5</v>
      </c>
      <c r="M7" s="10" t="s">
        <v>74</v>
      </c>
      <c r="N7" s="19" t="s">
        <v>548</v>
      </c>
    </row>
    <row r="8" spans="12:14" x14ac:dyDescent="0.4">
      <c r="L8" s="79">
        <v>6</v>
      </c>
      <c r="M8" s="10" t="s">
        <v>97</v>
      </c>
      <c r="N8" s="347" t="s">
        <v>547</v>
      </c>
    </row>
    <row r="9" spans="12:14" x14ac:dyDescent="0.4">
      <c r="L9" s="79">
        <v>7</v>
      </c>
      <c r="M9" s="10" t="s">
        <v>106</v>
      </c>
      <c r="N9" s="348"/>
    </row>
    <row r="10" spans="12:14" x14ac:dyDescent="0.4">
      <c r="L10" s="79">
        <v>8</v>
      </c>
      <c r="M10" s="10" t="s">
        <v>115</v>
      </c>
      <c r="N10" s="349"/>
    </row>
    <row r="11" spans="12:14" x14ac:dyDescent="0.4">
      <c r="L11" s="79">
        <v>9</v>
      </c>
      <c r="M11" s="10" t="s">
        <v>94</v>
      </c>
      <c r="N11" s="19"/>
    </row>
    <row r="12" spans="12:14" x14ac:dyDescent="0.4">
      <c r="L12" s="79">
        <v>10</v>
      </c>
      <c r="M12" s="35" t="s">
        <v>227</v>
      </c>
      <c r="N12" s="350" t="s">
        <v>549</v>
      </c>
    </row>
    <row r="13" spans="12:14" x14ac:dyDescent="0.4">
      <c r="L13" s="79">
        <v>11</v>
      </c>
      <c r="M13" s="35" t="s">
        <v>233</v>
      </c>
      <c r="N13" s="351"/>
    </row>
    <row r="14" spans="12:14" x14ac:dyDescent="0.4">
      <c r="L14" s="79">
        <v>12</v>
      </c>
      <c r="M14" s="25" t="s">
        <v>198</v>
      </c>
      <c r="N14" s="49"/>
    </row>
    <row r="15" spans="12:14" x14ac:dyDescent="0.4">
      <c r="L15" s="79">
        <v>13</v>
      </c>
      <c r="M15" s="25" t="s">
        <v>200</v>
      </c>
      <c r="N15" s="49"/>
    </row>
    <row r="16" spans="12:14" x14ac:dyDescent="0.4">
      <c r="L16" s="79">
        <v>14</v>
      </c>
      <c r="M16" s="10" t="s">
        <v>278</v>
      </c>
      <c r="N16" s="49"/>
    </row>
    <row r="17" spans="12:14" x14ac:dyDescent="0.4">
      <c r="L17" s="79">
        <v>15</v>
      </c>
      <c r="M17" s="10" t="s">
        <v>280</v>
      </c>
      <c r="N17" s="49"/>
    </row>
    <row r="20" spans="12:14" ht="19.5" customHeight="1" x14ac:dyDescent="0.4">
      <c r="L20" s="140"/>
      <c r="M20" s="140"/>
      <c r="N20" s="140"/>
    </row>
    <row r="21" spans="12:14" x14ac:dyDescent="0.4">
      <c r="L21" s="141"/>
      <c r="M21" s="129"/>
      <c r="N21" s="142"/>
    </row>
    <row r="22" spans="12:14" x14ac:dyDescent="0.4">
      <c r="L22" s="141"/>
      <c r="M22" s="130"/>
      <c r="N22" s="142"/>
    </row>
    <row r="23" spans="12:14" x14ac:dyDescent="0.4">
      <c r="L23" s="141"/>
      <c r="M23" s="352" t="s">
        <v>179</v>
      </c>
      <c r="N23" s="5" t="s">
        <v>39</v>
      </c>
    </row>
    <row r="24" spans="12:14" x14ac:dyDescent="0.4">
      <c r="L24" s="141"/>
      <c r="M24" s="353"/>
      <c r="N24" s="10" t="s">
        <v>573</v>
      </c>
    </row>
    <row r="25" spans="12:14" x14ac:dyDescent="0.4">
      <c r="L25" s="141"/>
      <c r="M25" s="353"/>
      <c r="N25" s="10" t="s">
        <v>63</v>
      </c>
    </row>
    <row r="26" spans="12:14" x14ac:dyDescent="0.4">
      <c r="L26" s="141"/>
      <c r="M26" s="353"/>
      <c r="N26" s="10" t="s">
        <v>74</v>
      </c>
    </row>
    <row r="27" spans="12:14" x14ac:dyDescent="0.4">
      <c r="L27" s="141"/>
      <c r="M27" s="353"/>
      <c r="N27" s="10" t="s">
        <v>94</v>
      </c>
    </row>
    <row r="28" spans="12:14" x14ac:dyDescent="0.4">
      <c r="L28" s="141"/>
      <c r="M28" s="353"/>
      <c r="N28" s="10" t="s">
        <v>97</v>
      </c>
    </row>
    <row r="29" spans="12:14" x14ac:dyDescent="0.4">
      <c r="L29" s="141"/>
      <c r="M29" s="353"/>
      <c r="N29" s="10" t="s">
        <v>106</v>
      </c>
    </row>
    <row r="30" spans="12:14" x14ac:dyDescent="0.4">
      <c r="L30" s="141"/>
      <c r="M30" s="353"/>
      <c r="N30" s="10" t="s">
        <v>115</v>
      </c>
    </row>
    <row r="31" spans="12:14" x14ac:dyDescent="0.4">
      <c r="L31" s="141"/>
      <c r="M31" s="353"/>
      <c r="N31" s="10" t="s">
        <v>124</v>
      </c>
    </row>
    <row r="32" spans="12:14" x14ac:dyDescent="0.4">
      <c r="L32" s="141"/>
      <c r="M32" s="353"/>
      <c r="N32" s="12" t="s">
        <v>127</v>
      </c>
    </row>
    <row r="33" spans="12:14" x14ac:dyDescent="0.4">
      <c r="L33" s="141"/>
      <c r="M33" s="353"/>
      <c r="N33" s="12" t="s">
        <v>129</v>
      </c>
    </row>
    <row r="34" spans="12:14" x14ac:dyDescent="0.4">
      <c r="L34" s="141"/>
      <c r="M34" s="353"/>
      <c r="N34" s="15" t="s">
        <v>132</v>
      </c>
    </row>
    <row r="35" spans="12:14" x14ac:dyDescent="0.4">
      <c r="L35" s="141"/>
      <c r="M35" s="353"/>
      <c r="N35" s="16" t="s">
        <v>134</v>
      </c>
    </row>
    <row r="36" spans="12:14" x14ac:dyDescent="0.4">
      <c r="M36" s="353"/>
      <c r="N36" s="16" t="s">
        <v>140</v>
      </c>
    </row>
    <row r="37" spans="12:14" x14ac:dyDescent="0.4">
      <c r="M37" s="353"/>
      <c r="N37" s="16" t="s">
        <v>141</v>
      </c>
    </row>
    <row r="38" spans="12:14" x14ac:dyDescent="0.4">
      <c r="M38" s="353"/>
      <c r="N38" s="16" t="s">
        <v>147</v>
      </c>
    </row>
    <row r="39" spans="12:14" x14ac:dyDescent="0.4">
      <c r="M39" s="353"/>
      <c r="N39" s="16" t="s">
        <v>153</v>
      </c>
    </row>
    <row r="40" spans="12:14" x14ac:dyDescent="0.4">
      <c r="M40" s="353"/>
      <c r="N40" s="16" t="s">
        <v>154</v>
      </c>
    </row>
    <row r="41" spans="12:14" x14ac:dyDescent="0.4">
      <c r="M41" s="353"/>
      <c r="N41" s="16" t="s">
        <v>155</v>
      </c>
    </row>
    <row r="42" spans="12:14" x14ac:dyDescent="0.4">
      <c r="M42" s="354"/>
      <c r="N42" s="16" t="s">
        <v>156</v>
      </c>
    </row>
  </sheetData>
  <mergeCells count="3">
    <mergeCell ref="N8:N10"/>
    <mergeCell ref="N12:N13"/>
    <mergeCell ref="M23:M42"/>
  </mergeCells>
  <phoneticPr fontId="2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Total-T7.2019</vt:lpstr>
      <vt:lpstr>Sheet1</vt:lpstr>
      <vt:lpstr>Sheet2</vt:lpstr>
      <vt:lpstr>Sheet3</vt:lpstr>
      <vt:lpstr>Import-T7.2019</vt:lpstr>
      <vt:lpstr>Export T7.2019</vt:lpstr>
      <vt:lpstr>NG T7.2019</vt:lpstr>
      <vt:lpstr>Images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2019-08-14T05:27:19Z</dcterms:modified>
</cp:coreProperties>
</file>